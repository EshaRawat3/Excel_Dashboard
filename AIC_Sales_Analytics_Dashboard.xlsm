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CEL PROJECTS\"/>
    </mc:Choice>
  </mc:AlternateContent>
  <xr:revisionPtr revIDLastSave="0" documentId="13_ncr:1_{FC5D2141-3AF4-4545-B95E-497ADAD85BC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7" r:id="rId1"/>
    <sheet name="MYDASHBOARD" sheetId="4" r:id="rId2"/>
    <sheet name="Data" sheetId="2" r:id="rId3"/>
    <sheet name="Detail1" sheetId="6" state="hidden" r:id="rId4"/>
    <sheet name="Pivot" sheetId="3" r:id="rId5"/>
  </sheets>
  <definedNames>
    <definedName name="Slicer_Year">#REF!</definedName>
  </definedNames>
  <calcPr calcId="191029"/>
  <pivotCaches>
    <pivotCache cacheId="0" r:id="rId6"/>
    <pivotCache cacheId="11" r:id="rId7"/>
    <pivotCache cacheId="17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IF1dVKV+wRjtBaWnZ9qIWa0jRkt4VhbI4ne9orNtlHU="/>
    </ext>
  </extLst>
</workbook>
</file>

<file path=xl/calcChain.xml><?xml version="1.0" encoding="utf-8"?>
<calcChain xmlns="http://schemas.openxmlformats.org/spreadsheetml/2006/main">
  <c r="K481" i="2" l="1"/>
  <c r="G481" i="2"/>
  <c r="K480" i="2"/>
  <c r="G480" i="2"/>
  <c r="K479" i="2"/>
  <c r="G479" i="2"/>
  <c r="K478" i="2"/>
  <c r="G478" i="2"/>
  <c r="K477" i="2"/>
  <c r="G477" i="2"/>
  <c r="K476" i="2"/>
  <c r="G476" i="2"/>
  <c r="K475" i="2"/>
  <c r="G475" i="2"/>
  <c r="K474" i="2"/>
  <c r="G474" i="2"/>
  <c r="K473" i="2"/>
  <c r="G473" i="2"/>
  <c r="K472" i="2"/>
  <c r="G472" i="2"/>
  <c r="K471" i="2"/>
  <c r="G471" i="2"/>
  <c r="K470" i="2"/>
  <c r="G470" i="2"/>
  <c r="K469" i="2"/>
  <c r="G469" i="2"/>
  <c r="K468" i="2"/>
  <c r="G468" i="2"/>
  <c r="K467" i="2"/>
  <c r="G467" i="2"/>
  <c r="K466" i="2"/>
  <c r="G466" i="2"/>
  <c r="K465" i="2"/>
  <c r="G465" i="2"/>
  <c r="K464" i="2"/>
  <c r="G464" i="2"/>
  <c r="K463" i="2"/>
  <c r="G463" i="2"/>
  <c r="K462" i="2"/>
  <c r="G462" i="2"/>
  <c r="K461" i="2"/>
  <c r="G461" i="2"/>
  <c r="K460" i="2"/>
  <c r="G460" i="2"/>
  <c r="K459" i="2"/>
  <c r="G459" i="2"/>
  <c r="K458" i="2"/>
  <c r="G458" i="2"/>
  <c r="K457" i="2"/>
  <c r="G457" i="2"/>
  <c r="K456" i="2"/>
  <c r="G456" i="2"/>
  <c r="K455" i="2"/>
  <c r="G455" i="2"/>
  <c r="K454" i="2"/>
  <c r="G454" i="2"/>
  <c r="K453" i="2"/>
  <c r="G453" i="2"/>
  <c r="K452" i="2"/>
  <c r="G452" i="2"/>
  <c r="K451" i="2"/>
  <c r="G451" i="2"/>
  <c r="K450" i="2"/>
  <c r="G450" i="2"/>
  <c r="K449" i="2"/>
  <c r="G449" i="2"/>
  <c r="K448" i="2"/>
  <c r="G448" i="2"/>
  <c r="K447" i="2"/>
  <c r="G447" i="2"/>
  <c r="K446" i="2"/>
  <c r="G446" i="2"/>
  <c r="K445" i="2"/>
  <c r="G445" i="2"/>
  <c r="K444" i="2"/>
  <c r="G444" i="2"/>
  <c r="K443" i="2"/>
  <c r="G443" i="2"/>
  <c r="K442" i="2"/>
  <c r="G442" i="2"/>
  <c r="K441" i="2"/>
  <c r="G441" i="2"/>
  <c r="K440" i="2"/>
  <c r="G440" i="2"/>
  <c r="K439" i="2"/>
  <c r="G439" i="2"/>
  <c r="K438" i="2"/>
  <c r="G438" i="2"/>
  <c r="K437" i="2"/>
  <c r="G437" i="2"/>
  <c r="K436" i="2"/>
  <c r="G436" i="2"/>
  <c r="K435" i="2"/>
  <c r="G435" i="2"/>
  <c r="K434" i="2"/>
  <c r="G434" i="2"/>
  <c r="K433" i="2"/>
  <c r="G433" i="2"/>
  <c r="K432" i="2"/>
  <c r="G432" i="2"/>
  <c r="K431" i="2"/>
  <c r="G431" i="2"/>
  <c r="K430" i="2"/>
  <c r="G430" i="2"/>
  <c r="K429" i="2"/>
  <c r="G429" i="2"/>
  <c r="K428" i="2"/>
  <c r="G428" i="2"/>
  <c r="K427" i="2"/>
  <c r="G427" i="2"/>
  <c r="K426" i="2"/>
  <c r="G426" i="2"/>
  <c r="K425" i="2"/>
  <c r="G425" i="2"/>
  <c r="K424" i="2"/>
  <c r="G424" i="2"/>
  <c r="K423" i="2"/>
  <c r="G423" i="2"/>
  <c r="K422" i="2"/>
  <c r="G422" i="2"/>
  <c r="K421" i="2"/>
  <c r="G421" i="2"/>
  <c r="K420" i="2"/>
  <c r="G420" i="2"/>
  <c r="K419" i="2"/>
  <c r="G419" i="2"/>
  <c r="K418" i="2"/>
  <c r="G418" i="2"/>
  <c r="K417" i="2"/>
  <c r="G417" i="2"/>
  <c r="K416" i="2"/>
  <c r="G416" i="2"/>
  <c r="K415" i="2"/>
  <c r="G415" i="2"/>
  <c r="K414" i="2"/>
  <c r="G414" i="2"/>
  <c r="K413" i="2"/>
  <c r="G413" i="2"/>
  <c r="K412" i="2"/>
  <c r="G412" i="2"/>
  <c r="K411" i="2"/>
  <c r="G411" i="2"/>
  <c r="K410" i="2"/>
  <c r="G410" i="2"/>
  <c r="K409" i="2"/>
  <c r="G409" i="2"/>
  <c r="K408" i="2"/>
  <c r="G408" i="2"/>
  <c r="K407" i="2"/>
  <c r="G407" i="2"/>
  <c r="K406" i="2"/>
  <c r="G406" i="2"/>
  <c r="K405" i="2"/>
  <c r="G405" i="2"/>
  <c r="K404" i="2"/>
  <c r="G404" i="2"/>
  <c r="K403" i="2"/>
  <c r="G403" i="2"/>
  <c r="K402" i="2"/>
  <c r="G402" i="2"/>
  <c r="K401" i="2"/>
  <c r="G401" i="2"/>
  <c r="K400" i="2"/>
  <c r="G400" i="2"/>
  <c r="K399" i="2"/>
  <c r="G399" i="2"/>
  <c r="K398" i="2"/>
  <c r="G398" i="2"/>
  <c r="K397" i="2"/>
  <c r="G397" i="2"/>
  <c r="K396" i="2"/>
  <c r="G396" i="2"/>
  <c r="K395" i="2"/>
  <c r="G395" i="2"/>
  <c r="K394" i="2"/>
  <c r="G394" i="2"/>
  <c r="K393" i="2"/>
  <c r="G393" i="2"/>
  <c r="K392" i="2"/>
  <c r="G392" i="2"/>
  <c r="K391" i="2"/>
  <c r="G391" i="2"/>
  <c r="K390" i="2"/>
  <c r="G390" i="2"/>
  <c r="K389" i="2"/>
  <c r="G389" i="2"/>
  <c r="K388" i="2"/>
  <c r="G388" i="2"/>
  <c r="K387" i="2"/>
  <c r="G387" i="2"/>
  <c r="K386" i="2"/>
  <c r="G386" i="2"/>
  <c r="K385" i="2"/>
  <c r="G385" i="2"/>
  <c r="K384" i="2"/>
  <c r="G384" i="2"/>
  <c r="K383" i="2"/>
  <c r="G383" i="2"/>
  <c r="K382" i="2"/>
  <c r="G382" i="2"/>
  <c r="K381" i="2"/>
  <c r="G381" i="2"/>
  <c r="K380" i="2"/>
  <c r="G380" i="2"/>
  <c r="K379" i="2"/>
  <c r="G379" i="2"/>
  <c r="K378" i="2"/>
  <c r="G378" i="2"/>
  <c r="K377" i="2"/>
  <c r="G377" i="2"/>
  <c r="K376" i="2"/>
  <c r="G376" i="2"/>
  <c r="K375" i="2"/>
  <c r="G375" i="2"/>
  <c r="K374" i="2"/>
  <c r="G374" i="2"/>
  <c r="K373" i="2"/>
  <c r="G373" i="2"/>
  <c r="K372" i="2"/>
  <c r="G372" i="2"/>
  <c r="K371" i="2"/>
  <c r="G371" i="2"/>
  <c r="K370" i="2"/>
  <c r="G370" i="2"/>
  <c r="K369" i="2"/>
  <c r="G369" i="2"/>
  <c r="K368" i="2"/>
  <c r="G368" i="2"/>
  <c r="K367" i="2"/>
  <c r="G367" i="2"/>
  <c r="K366" i="2"/>
  <c r="G366" i="2"/>
  <c r="K365" i="2"/>
  <c r="G365" i="2"/>
  <c r="K364" i="2"/>
  <c r="G364" i="2"/>
  <c r="K363" i="2"/>
  <c r="G363" i="2"/>
  <c r="K362" i="2"/>
  <c r="G362" i="2"/>
  <c r="K361" i="2"/>
  <c r="G361" i="2"/>
  <c r="K360" i="2"/>
  <c r="G360" i="2"/>
  <c r="K359" i="2"/>
  <c r="G359" i="2"/>
  <c r="K358" i="2"/>
  <c r="G358" i="2"/>
  <c r="K357" i="2"/>
  <c r="G357" i="2"/>
  <c r="K356" i="2"/>
  <c r="G356" i="2"/>
  <c r="K355" i="2"/>
  <c r="G355" i="2"/>
  <c r="K354" i="2"/>
  <c r="G354" i="2"/>
  <c r="K353" i="2"/>
  <c r="G353" i="2"/>
  <c r="K352" i="2"/>
  <c r="G352" i="2"/>
  <c r="K351" i="2"/>
  <c r="G351" i="2"/>
  <c r="K350" i="2"/>
  <c r="G350" i="2"/>
  <c r="K349" i="2"/>
  <c r="G349" i="2"/>
  <c r="K348" i="2"/>
  <c r="G348" i="2"/>
  <c r="K347" i="2"/>
  <c r="G347" i="2"/>
  <c r="K346" i="2"/>
  <c r="G346" i="2"/>
  <c r="K345" i="2"/>
  <c r="G345" i="2"/>
  <c r="K344" i="2"/>
  <c r="G344" i="2"/>
  <c r="K343" i="2"/>
  <c r="G343" i="2"/>
  <c r="K342" i="2"/>
  <c r="G342" i="2"/>
  <c r="K341" i="2"/>
  <c r="G341" i="2"/>
  <c r="K340" i="2"/>
  <c r="G340" i="2"/>
  <c r="K339" i="2"/>
  <c r="G339" i="2"/>
  <c r="K338" i="2"/>
  <c r="G338" i="2"/>
  <c r="K337" i="2"/>
  <c r="G337" i="2"/>
  <c r="K336" i="2"/>
  <c r="G336" i="2"/>
  <c r="K335" i="2"/>
  <c r="G335" i="2"/>
  <c r="K334" i="2"/>
  <c r="G334" i="2"/>
  <c r="K333" i="2"/>
  <c r="G333" i="2"/>
  <c r="K332" i="2"/>
  <c r="G332" i="2"/>
  <c r="K331" i="2"/>
  <c r="G331" i="2"/>
  <c r="K330" i="2"/>
  <c r="G330" i="2"/>
  <c r="K329" i="2"/>
  <c r="G329" i="2"/>
  <c r="K328" i="2"/>
  <c r="G328" i="2"/>
  <c r="K327" i="2"/>
  <c r="G327" i="2"/>
  <c r="K326" i="2"/>
  <c r="G326" i="2"/>
  <c r="K325" i="2"/>
  <c r="G325" i="2"/>
  <c r="K324" i="2"/>
  <c r="G324" i="2"/>
  <c r="K323" i="2"/>
  <c r="G323" i="2"/>
  <c r="K322" i="2"/>
  <c r="G322" i="2"/>
  <c r="K321" i="2"/>
  <c r="G321" i="2"/>
  <c r="K320" i="2"/>
  <c r="G320" i="2"/>
  <c r="K319" i="2"/>
  <c r="G319" i="2"/>
  <c r="K318" i="2"/>
  <c r="G318" i="2"/>
  <c r="K317" i="2"/>
  <c r="G317" i="2"/>
  <c r="K316" i="2"/>
  <c r="G316" i="2"/>
  <c r="K315" i="2"/>
  <c r="G315" i="2"/>
  <c r="K314" i="2"/>
  <c r="G314" i="2"/>
  <c r="K313" i="2"/>
  <c r="G313" i="2"/>
  <c r="K312" i="2"/>
  <c r="G312" i="2"/>
  <c r="K311" i="2"/>
  <c r="G311" i="2"/>
  <c r="K310" i="2"/>
  <c r="G310" i="2"/>
  <c r="K309" i="2"/>
  <c r="G309" i="2"/>
  <c r="K308" i="2"/>
  <c r="G308" i="2"/>
  <c r="K307" i="2"/>
  <c r="G307" i="2"/>
  <c r="K306" i="2"/>
  <c r="G306" i="2"/>
  <c r="K305" i="2"/>
  <c r="G305" i="2"/>
  <c r="K304" i="2"/>
  <c r="G304" i="2"/>
  <c r="K303" i="2"/>
  <c r="G303" i="2"/>
  <c r="K302" i="2"/>
  <c r="G302" i="2"/>
  <c r="K301" i="2"/>
  <c r="G301" i="2"/>
  <c r="K300" i="2"/>
  <c r="G300" i="2"/>
  <c r="K299" i="2"/>
  <c r="G299" i="2"/>
  <c r="K298" i="2"/>
  <c r="G298" i="2"/>
  <c r="K297" i="2"/>
  <c r="G297" i="2"/>
  <c r="K296" i="2"/>
  <c r="G296" i="2"/>
  <c r="K295" i="2"/>
  <c r="G295" i="2"/>
  <c r="K294" i="2"/>
  <c r="G294" i="2"/>
  <c r="K293" i="2"/>
  <c r="G293" i="2"/>
  <c r="K292" i="2"/>
  <c r="G292" i="2"/>
  <c r="K291" i="2"/>
  <c r="G291" i="2"/>
  <c r="K290" i="2"/>
  <c r="G290" i="2"/>
  <c r="K289" i="2"/>
  <c r="G289" i="2"/>
  <c r="K288" i="2"/>
  <c r="G288" i="2"/>
  <c r="K287" i="2"/>
  <c r="G287" i="2"/>
  <c r="K286" i="2"/>
  <c r="G286" i="2"/>
  <c r="K285" i="2"/>
  <c r="G285" i="2"/>
  <c r="K284" i="2"/>
  <c r="G284" i="2"/>
  <c r="K283" i="2"/>
  <c r="G283" i="2"/>
  <c r="K282" i="2"/>
  <c r="G282" i="2"/>
  <c r="K281" i="2"/>
  <c r="G281" i="2"/>
  <c r="K280" i="2"/>
  <c r="G280" i="2"/>
  <c r="K279" i="2"/>
  <c r="G279" i="2"/>
  <c r="K278" i="2"/>
  <c r="G278" i="2"/>
  <c r="K277" i="2"/>
  <c r="G277" i="2"/>
  <c r="K276" i="2"/>
  <c r="G276" i="2"/>
  <c r="K275" i="2"/>
  <c r="G275" i="2"/>
  <c r="K274" i="2"/>
  <c r="G274" i="2"/>
  <c r="K273" i="2"/>
  <c r="G273" i="2"/>
  <c r="K272" i="2"/>
  <c r="G272" i="2"/>
  <c r="K271" i="2"/>
  <c r="G271" i="2"/>
  <c r="K270" i="2"/>
  <c r="G270" i="2"/>
  <c r="K269" i="2"/>
  <c r="G269" i="2"/>
  <c r="K268" i="2"/>
  <c r="G268" i="2"/>
  <c r="K267" i="2"/>
  <c r="G267" i="2"/>
  <c r="K266" i="2"/>
  <c r="G266" i="2"/>
  <c r="K265" i="2"/>
  <c r="G265" i="2"/>
  <c r="K264" i="2"/>
  <c r="G264" i="2"/>
  <c r="K263" i="2"/>
  <c r="G263" i="2"/>
  <c r="K262" i="2"/>
  <c r="G262" i="2"/>
  <c r="K261" i="2"/>
  <c r="G261" i="2"/>
  <c r="K260" i="2"/>
  <c r="G260" i="2"/>
  <c r="K259" i="2"/>
  <c r="G259" i="2"/>
  <c r="K258" i="2"/>
  <c r="G258" i="2"/>
  <c r="K257" i="2"/>
  <c r="G257" i="2"/>
  <c r="K256" i="2"/>
  <c r="G256" i="2"/>
  <c r="K255" i="2"/>
  <c r="G255" i="2"/>
  <c r="K254" i="2"/>
  <c r="G254" i="2"/>
  <c r="K253" i="2"/>
  <c r="G253" i="2"/>
  <c r="K252" i="2"/>
  <c r="G252" i="2"/>
  <c r="K251" i="2"/>
  <c r="G251" i="2"/>
  <c r="K250" i="2"/>
  <c r="G250" i="2"/>
  <c r="K249" i="2"/>
  <c r="G249" i="2"/>
  <c r="K248" i="2"/>
  <c r="G248" i="2"/>
  <c r="K247" i="2"/>
  <c r="G247" i="2"/>
  <c r="K246" i="2"/>
  <c r="G246" i="2"/>
  <c r="K245" i="2"/>
  <c r="G245" i="2"/>
  <c r="K244" i="2"/>
  <c r="G244" i="2"/>
  <c r="K243" i="2"/>
  <c r="G243" i="2"/>
  <c r="K242" i="2"/>
  <c r="G242" i="2"/>
  <c r="K241" i="2"/>
  <c r="G241" i="2"/>
  <c r="K240" i="2"/>
  <c r="G240" i="2"/>
  <c r="K239" i="2"/>
  <c r="G239" i="2"/>
  <c r="K238" i="2"/>
  <c r="G238" i="2"/>
  <c r="K237" i="2"/>
  <c r="G237" i="2"/>
  <c r="K236" i="2"/>
  <c r="G236" i="2"/>
  <c r="K235" i="2"/>
  <c r="G235" i="2"/>
  <c r="K234" i="2"/>
  <c r="G234" i="2"/>
  <c r="K233" i="2"/>
  <c r="G233" i="2"/>
  <c r="K232" i="2"/>
  <c r="G232" i="2"/>
  <c r="K231" i="2"/>
  <c r="G231" i="2"/>
  <c r="K230" i="2"/>
  <c r="G230" i="2"/>
  <c r="K229" i="2"/>
  <c r="G229" i="2"/>
  <c r="K228" i="2"/>
  <c r="G228" i="2"/>
  <c r="K227" i="2"/>
  <c r="G227" i="2"/>
  <c r="K226" i="2"/>
  <c r="G226" i="2"/>
  <c r="K225" i="2"/>
  <c r="G225" i="2"/>
  <c r="K224" i="2"/>
  <c r="G224" i="2"/>
  <c r="K223" i="2"/>
  <c r="G223" i="2"/>
  <c r="K222" i="2"/>
  <c r="G222" i="2"/>
  <c r="K221" i="2"/>
  <c r="G221" i="2"/>
  <c r="K220" i="2"/>
  <c r="G220" i="2"/>
  <c r="K219" i="2"/>
  <c r="G219" i="2"/>
  <c r="K218" i="2"/>
  <c r="G218" i="2"/>
  <c r="K217" i="2"/>
  <c r="G217" i="2"/>
  <c r="K216" i="2"/>
  <c r="G216" i="2"/>
  <c r="K215" i="2"/>
  <c r="G215" i="2"/>
  <c r="K214" i="2"/>
  <c r="G214" i="2"/>
  <c r="K213" i="2"/>
  <c r="G213" i="2"/>
  <c r="K212" i="2"/>
  <c r="G212" i="2"/>
  <c r="K211" i="2"/>
  <c r="G211" i="2"/>
  <c r="K210" i="2"/>
  <c r="G210" i="2"/>
  <c r="K209" i="2"/>
  <c r="G209" i="2"/>
  <c r="K208" i="2"/>
  <c r="G208" i="2"/>
  <c r="K207" i="2"/>
  <c r="G207" i="2"/>
  <c r="K206" i="2"/>
  <c r="G206" i="2"/>
  <c r="K205" i="2"/>
  <c r="G205" i="2"/>
  <c r="K204" i="2"/>
  <c r="G204" i="2"/>
  <c r="K203" i="2"/>
  <c r="G203" i="2"/>
  <c r="K202" i="2"/>
  <c r="G202" i="2"/>
  <c r="K201" i="2"/>
  <c r="G201" i="2"/>
  <c r="K200" i="2"/>
  <c r="G200" i="2"/>
  <c r="K199" i="2"/>
  <c r="G199" i="2"/>
  <c r="K198" i="2"/>
  <c r="G198" i="2"/>
  <c r="K197" i="2"/>
  <c r="G197" i="2"/>
  <c r="K196" i="2"/>
  <c r="G196" i="2"/>
  <c r="K195" i="2"/>
  <c r="G195" i="2"/>
  <c r="K194" i="2"/>
  <c r="G194" i="2"/>
  <c r="K193" i="2"/>
  <c r="G193" i="2"/>
  <c r="K192" i="2"/>
  <c r="G192" i="2"/>
  <c r="K191" i="2"/>
  <c r="G191" i="2"/>
  <c r="K190" i="2"/>
  <c r="G190" i="2"/>
  <c r="K189" i="2"/>
  <c r="G189" i="2"/>
  <c r="K188" i="2"/>
  <c r="G188" i="2"/>
  <c r="K187" i="2"/>
  <c r="G187" i="2"/>
  <c r="K186" i="2"/>
  <c r="G186" i="2"/>
  <c r="K185" i="2"/>
  <c r="G185" i="2"/>
  <c r="K184" i="2"/>
  <c r="G184" i="2"/>
  <c r="K183" i="2"/>
  <c r="G183" i="2"/>
  <c r="K182" i="2"/>
  <c r="G182" i="2"/>
  <c r="K181" i="2"/>
  <c r="G181" i="2"/>
  <c r="K180" i="2"/>
  <c r="G180" i="2"/>
  <c r="K179" i="2"/>
  <c r="G179" i="2"/>
  <c r="K178" i="2"/>
  <c r="G178" i="2"/>
  <c r="K177" i="2"/>
  <c r="G177" i="2"/>
  <c r="K176" i="2"/>
  <c r="G176" i="2"/>
  <c r="K175" i="2"/>
  <c r="G175" i="2"/>
  <c r="K174" i="2"/>
  <c r="G174" i="2"/>
  <c r="K173" i="2"/>
  <c r="G173" i="2"/>
  <c r="K172" i="2"/>
  <c r="G172" i="2"/>
  <c r="K171" i="2"/>
  <c r="G171" i="2"/>
  <c r="K170" i="2"/>
  <c r="G170" i="2"/>
  <c r="K169" i="2"/>
  <c r="G169" i="2"/>
  <c r="K168" i="2"/>
  <c r="G168" i="2"/>
  <c r="K167" i="2"/>
  <c r="G167" i="2"/>
  <c r="K166" i="2"/>
  <c r="G166" i="2"/>
  <c r="K165" i="2"/>
  <c r="G165" i="2"/>
  <c r="K164" i="2"/>
  <c r="G164" i="2"/>
  <c r="K163" i="2"/>
  <c r="G163" i="2"/>
  <c r="K162" i="2"/>
  <c r="G162" i="2"/>
  <c r="K161" i="2"/>
  <c r="G161" i="2"/>
  <c r="K160" i="2"/>
  <c r="G160" i="2"/>
  <c r="K159" i="2"/>
  <c r="G159" i="2"/>
  <c r="K158" i="2"/>
  <c r="G158" i="2"/>
  <c r="K157" i="2"/>
  <c r="G157" i="2"/>
  <c r="K156" i="2"/>
  <c r="G156" i="2"/>
  <c r="K155" i="2"/>
  <c r="G155" i="2"/>
  <c r="K154" i="2"/>
  <c r="G154" i="2"/>
  <c r="K153" i="2"/>
  <c r="G153" i="2"/>
  <c r="K152" i="2"/>
  <c r="G152" i="2"/>
  <c r="K151" i="2"/>
  <c r="G151" i="2"/>
  <c r="K150" i="2"/>
  <c r="G150" i="2"/>
  <c r="K149" i="2"/>
  <c r="G149" i="2"/>
  <c r="K148" i="2"/>
  <c r="G148" i="2"/>
  <c r="K147" i="2"/>
  <c r="G147" i="2"/>
  <c r="K146" i="2"/>
  <c r="G146" i="2"/>
  <c r="K145" i="2"/>
  <c r="G145" i="2"/>
  <c r="K144" i="2"/>
  <c r="G144" i="2"/>
  <c r="K143" i="2"/>
  <c r="G143" i="2"/>
  <c r="K142" i="2"/>
  <c r="G142" i="2"/>
  <c r="K141" i="2"/>
  <c r="G141" i="2"/>
  <c r="K140" i="2"/>
  <c r="G140" i="2"/>
  <c r="K139" i="2"/>
  <c r="G139" i="2"/>
  <c r="K138" i="2"/>
  <c r="G138" i="2"/>
  <c r="K137" i="2"/>
  <c r="G137" i="2"/>
  <c r="K136" i="2"/>
  <c r="G136" i="2"/>
  <c r="K135" i="2"/>
  <c r="G135" i="2"/>
  <c r="K134" i="2"/>
  <c r="G134" i="2"/>
  <c r="K133" i="2"/>
  <c r="G133" i="2"/>
  <c r="K132" i="2"/>
  <c r="G132" i="2"/>
  <c r="K131" i="2"/>
  <c r="G131" i="2"/>
  <c r="K130" i="2"/>
  <c r="G130" i="2"/>
  <c r="K129" i="2"/>
  <c r="G129" i="2"/>
  <c r="K128" i="2"/>
  <c r="G128" i="2"/>
  <c r="K127" i="2"/>
  <c r="G127" i="2"/>
  <c r="K126" i="2"/>
  <c r="G126" i="2"/>
  <c r="K125" i="2"/>
  <c r="G125" i="2"/>
  <c r="K124" i="2"/>
  <c r="G124" i="2"/>
  <c r="K123" i="2"/>
  <c r="G123" i="2"/>
  <c r="K122" i="2"/>
  <c r="G122" i="2"/>
  <c r="K121" i="2"/>
  <c r="G121" i="2"/>
  <c r="K120" i="2"/>
  <c r="G120" i="2"/>
  <c r="K119" i="2"/>
  <c r="G119" i="2"/>
  <c r="K118" i="2"/>
  <c r="G118" i="2"/>
  <c r="K117" i="2"/>
  <c r="G117" i="2"/>
  <c r="K116" i="2"/>
  <c r="G116" i="2"/>
  <c r="K115" i="2"/>
  <c r="G115" i="2"/>
  <c r="K114" i="2"/>
  <c r="G114" i="2"/>
  <c r="K113" i="2"/>
  <c r="G113" i="2"/>
  <c r="K112" i="2"/>
  <c r="G112" i="2"/>
  <c r="K111" i="2"/>
  <c r="G111" i="2"/>
  <c r="K110" i="2"/>
  <c r="G110" i="2"/>
  <c r="K109" i="2"/>
  <c r="G109" i="2"/>
  <c r="K108" i="2"/>
  <c r="G108" i="2"/>
  <c r="K107" i="2"/>
  <c r="G107" i="2"/>
  <c r="K106" i="2"/>
  <c r="G106" i="2"/>
  <c r="K105" i="2"/>
  <c r="G105" i="2"/>
  <c r="K104" i="2"/>
  <c r="G104" i="2"/>
  <c r="K103" i="2"/>
  <c r="G103" i="2"/>
  <c r="K102" i="2"/>
  <c r="G102" i="2"/>
  <c r="K101" i="2"/>
  <c r="G101" i="2"/>
  <c r="K100" i="2"/>
  <c r="G100" i="2"/>
  <c r="K99" i="2"/>
  <c r="G99" i="2"/>
  <c r="K98" i="2"/>
  <c r="G98" i="2"/>
  <c r="K97" i="2"/>
  <c r="G97" i="2"/>
  <c r="K96" i="2"/>
  <c r="G96" i="2"/>
  <c r="K95" i="2"/>
  <c r="G95" i="2"/>
  <c r="K94" i="2"/>
  <c r="G94" i="2"/>
  <c r="K93" i="2"/>
  <c r="G93" i="2"/>
  <c r="K92" i="2"/>
  <c r="G92" i="2"/>
  <c r="K91" i="2"/>
  <c r="G91" i="2"/>
  <c r="K90" i="2"/>
  <c r="G90" i="2"/>
  <c r="K89" i="2"/>
  <c r="G89" i="2"/>
  <c r="K88" i="2"/>
  <c r="G88" i="2"/>
  <c r="K87" i="2"/>
  <c r="G87" i="2"/>
  <c r="K86" i="2"/>
  <c r="G86" i="2"/>
  <c r="K85" i="2"/>
  <c r="G85" i="2"/>
  <c r="K84" i="2"/>
  <c r="G84" i="2"/>
  <c r="K83" i="2"/>
  <c r="G83" i="2"/>
  <c r="K82" i="2"/>
  <c r="G82" i="2"/>
  <c r="K81" i="2"/>
  <c r="G81" i="2"/>
  <c r="K80" i="2"/>
  <c r="G80" i="2"/>
  <c r="K79" i="2"/>
  <c r="G79" i="2"/>
  <c r="K78" i="2"/>
  <c r="G78" i="2"/>
  <c r="K77" i="2"/>
  <c r="G77" i="2"/>
  <c r="K76" i="2"/>
  <c r="G76" i="2"/>
  <c r="K75" i="2"/>
  <c r="G75" i="2"/>
  <c r="K74" i="2"/>
  <c r="G74" i="2"/>
  <c r="K73" i="2"/>
  <c r="G73" i="2"/>
  <c r="K72" i="2"/>
  <c r="G72" i="2"/>
  <c r="K71" i="2"/>
  <c r="G71" i="2"/>
  <c r="K70" i="2"/>
  <c r="G70" i="2"/>
  <c r="K69" i="2"/>
  <c r="G69" i="2"/>
  <c r="K68" i="2"/>
  <c r="G68" i="2"/>
  <c r="K67" i="2"/>
  <c r="G67" i="2"/>
  <c r="K66" i="2"/>
  <c r="G66" i="2"/>
  <c r="K65" i="2"/>
  <c r="G65" i="2"/>
  <c r="K64" i="2"/>
  <c r="G64" i="2"/>
  <c r="K63" i="2"/>
  <c r="G63" i="2"/>
  <c r="K62" i="2"/>
  <c r="G62" i="2"/>
  <c r="K61" i="2"/>
  <c r="G61" i="2"/>
  <c r="K60" i="2"/>
  <c r="G60" i="2"/>
  <c r="K59" i="2"/>
  <c r="G59" i="2"/>
  <c r="K58" i="2"/>
  <c r="G58" i="2"/>
  <c r="K57" i="2"/>
  <c r="G57" i="2"/>
  <c r="K56" i="2"/>
  <c r="G56" i="2"/>
  <c r="K55" i="2"/>
  <c r="G55" i="2"/>
  <c r="K54" i="2"/>
  <c r="G54" i="2"/>
  <c r="K53" i="2"/>
  <c r="G53" i="2"/>
  <c r="K52" i="2"/>
  <c r="G52" i="2"/>
  <c r="K51" i="2"/>
  <c r="G51" i="2"/>
  <c r="K50" i="2"/>
  <c r="G50" i="2"/>
  <c r="K49" i="2"/>
  <c r="G49" i="2"/>
  <c r="K48" i="2"/>
  <c r="G48" i="2"/>
  <c r="K47" i="2"/>
  <c r="G47" i="2"/>
  <c r="K46" i="2"/>
  <c r="G46" i="2"/>
  <c r="K45" i="2"/>
  <c r="G45" i="2"/>
  <c r="K44" i="2"/>
  <c r="G44" i="2"/>
  <c r="K43" i="2"/>
  <c r="G43" i="2"/>
  <c r="K42" i="2"/>
  <c r="G42" i="2"/>
  <c r="K41" i="2"/>
  <c r="G41" i="2"/>
  <c r="K40" i="2"/>
  <c r="G40" i="2"/>
  <c r="K39" i="2"/>
  <c r="G39" i="2"/>
  <c r="K38" i="2"/>
  <c r="G38" i="2"/>
  <c r="K37" i="2"/>
  <c r="G37" i="2"/>
  <c r="K36" i="2"/>
  <c r="G36" i="2"/>
  <c r="K35" i="2"/>
  <c r="G35" i="2"/>
  <c r="K34" i="2"/>
  <c r="G34" i="2"/>
  <c r="K33" i="2"/>
  <c r="G33" i="2"/>
  <c r="K32" i="2"/>
  <c r="G32" i="2"/>
  <c r="K31" i="2"/>
  <c r="G31" i="2"/>
  <c r="K30" i="2"/>
  <c r="G30" i="2"/>
  <c r="K29" i="2"/>
  <c r="G29" i="2"/>
  <c r="K28" i="2"/>
  <c r="G28" i="2"/>
  <c r="K27" i="2"/>
  <c r="G27" i="2"/>
  <c r="K26" i="2"/>
  <c r="G26" i="2"/>
  <c r="K25" i="2"/>
  <c r="G25" i="2"/>
  <c r="K24" i="2"/>
  <c r="G24" i="2"/>
  <c r="K23" i="2"/>
  <c r="G23" i="2"/>
  <c r="K22" i="2"/>
  <c r="G22" i="2"/>
  <c r="K21" i="2"/>
  <c r="G21" i="2"/>
  <c r="K20" i="2"/>
  <c r="G20" i="2"/>
  <c r="K19" i="2"/>
  <c r="G19" i="2"/>
  <c r="K18" i="2"/>
  <c r="G18" i="2"/>
  <c r="K17" i="2"/>
  <c r="G17" i="2"/>
  <c r="K16" i="2"/>
  <c r="G16" i="2"/>
  <c r="K15" i="2"/>
  <c r="G15" i="2"/>
  <c r="K14" i="2"/>
  <c r="G14" i="2"/>
  <c r="K13" i="2"/>
  <c r="G13" i="2"/>
  <c r="K12" i="2"/>
  <c r="G12" i="2"/>
  <c r="K11" i="2"/>
  <c r="G11" i="2"/>
  <c r="K10" i="2"/>
  <c r="G10" i="2"/>
  <c r="K9" i="2"/>
  <c r="G9" i="2"/>
  <c r="K8" i="2"/>
  <c r="G8" i="2"/>
  <c r="K7" i="2"/>
  <c r="G7" i="2"/>
  <c r="K6" i="2"/>
  <c r="G6" i="2"/>
  <c r="K5" i="2"/>
  <c r="G5" i="2"/>
  <c r="K4" i="2"/>
  <c r="G4" i="2"/>
  <c r="K3" i="2"/>
  <c r="G3" i="2"/>
  <c r="K2" i="2"/>
  <c r="A9" i="3" s="1"/>
  <c r="G2" i="2"/>
</calcChain>
</file>

<file path=xl/sharedStrings.xml><?xml version="1.0" encoding="utf-8"?>
<sst xmlns="http://schemas.openxmlformats.org/spreadsheetml/2006/main" count="9284" uniqueCount="96">
  <si>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</si>
  <si>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</si>
  <si>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</si>
  <si>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</si>
  <si>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</si>
  <si>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</si>
  <si>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</si>
  <si>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</si>
  <si>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</si>
  <si>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</si>
  <si>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</si>
  <si>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</si>
  <si>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</si>
  <si>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</si>
  <si>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</si>
  <si>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</si>
  <si>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</si>
  <si>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</si>
  <si>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</si>
  <si>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</si>
  <si>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</si>
  <si>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</si>
  <si>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</si>
  <si>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</si>
  <si>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</si>
  <si>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</si>
  <si>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</si>
  <si>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</si>
  <si>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</si>
  <si>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</si>
  <si>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</si>
  <si>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</si>
  <si>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</si>
  <si>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</si>
  <si>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</si>
  <si>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</si>
  <si>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</si>
  <si>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</si>
  <si>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</si>
  <si>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</si>
  <si>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</si>
  <si>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</si>
  <si>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</si>
  <si>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</si>
  <si>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</si>
  <si>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</si>
  <si>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</si>
  <si>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</si>
  <si>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</si>
  <si>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</si>
  <si>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</si>
  <si>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</si>
  <si>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</si>
  <si>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</si>
  <si>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</si>
  <si>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</si>
  <si>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</si>
  <si>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</si>
  <si>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</si>
  <si>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</si>
  <si>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</si>
  <si>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</si>
  <si>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</si>
  <si>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</si>
  <si>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</si>
  <si>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</si>
  <si>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</si>
  <si>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</si>
  <si>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</si>
  <si>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</si>
  <si>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</si>
  <si>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</si>
  <si>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</si>
  <si>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</si>
  <si>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</si>
  <si>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</si>
  <si>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</si>
  <si>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</si>
  <si>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</si>
  <si>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</si>
  <si>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Amount2</t>
  </si>
  <si>
    <t>Sum of Margin Amount</t>
  </si>
  <si>
    <t>Average Margin</t>
  </si>
  <si>
    <t>Count of Customer Name</t>
  </si>
  <si>
    <t>Grand Total</t>
  </si>
  <si>
    <t>Sum of Sales Amount</t>
  </si>
  <si>
    <t>2023 Total</t>
  </si>
  <si>
    <t>2024 Total</t>
  </si>
  <si>
    <t>Row Labels</t>
  </si>
  <si>
    <t>Copywriting</t>
  </si>
  <si>
    <t>Design</t>
  </si>
  <si>
    <t>Marketing</t>
  </si>
  <si>
    <t>Sum of Sum of Sales Amount</t>
  </si>
  <si>
    <t xml:space="preserve"> </t>
  </si>
  <si>
    <t>Details for Sum of Sales Amount2</t>
  </si>
  <si>
    <t>Average of Sales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</si>
</sst>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409]d/mmm/yy"/>
    <numFmt numFmtId="165" formatCode="_(* #,##0_);_(* \(#,##0\);_(* &quot;-&quot;??_);_(@_)"/>
    <numFmt numFmtId="166" formatCode="0.0%"/>
    <numFmt numFmtId="167" formatCode="_(* #,##0.00_);_(* \(#,##0.00\);_(* &quot;-&quot;??_);_(@_)"/>
    <numFmt numFmtId="169" formatCode="0.0,&quot;k&quot;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rgb="FF000000"/>
      <name val="Lato"/>
      <family val="2"/>
    </font>
    <font>
      <sz val="22"/>
      <color theme="1"/>
      <name val="Apto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theme="5" tint="-0.499984740745262"/>
        <bgColor indexed="64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theme="8"/>
      </bottom>
      <diagonal/>
    </border>
    <border>
      <left style="thin">
        <color rgb="FF000000"/>
      </left>
      <right/>
      <top style="thin">
        <color rgb="FF000000"/>
      </top>
      <bottom style="thin">
        <color theme="8"/>
      </bottom>
      <diagonal/>
    </border>
    <border>
      <left/>
      <right/>
      <top style="medium">
        <color rgb="FF366092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5" xfId="0" applyFont="1" applyBorder="1"/>
    <xf numFmtId="0" fontId="3" fillId="0" borderId="5" xfId="0" applyFont="1" applyBorder="1" applyAlignment="1">
      <alignment horizontal="center" vertical="center" wrapText="1"/>
    </xf>
    <xf numFmtId="165" fontId="3" fillId="0" borderId="5" xfId="0" applyNumberFormat="1" applyFont="1" applyBorder="1" applyAlignment="1">
      <alignment vertical="center" wrapText="1"/>
    </xf>
    <xf numFmtId="166" fontId="3" fillId="0" borderId="5" xfId="0" applyNumberFormat="1" applyFont="1" applyBorder="1"/>
    <xf numFmtId="167" fontId="3" fillId="0" borderId="5" xfId="0" applyNumberFormat="1" applyFont="1" applyBorder="1" applyAlignment="1">
      <alignment vertical="center" wrapText="1"/>
    </xf>
    <xf numFmtId="164" fontId="3" fillId="0" borderId="6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165" fontId="3" fillId="0" borderId="7" xfId="0" applyNumberFormat="1" applyFont="1" applyBorder="1" applyAlignment="1">
      <alignment vertical="center" wrapText="1"/>
    </xf>
    <xf numFmtId="166" fontId="3" fillId="0" borderId="7" xfId="0" applyNumberFormat="1" applyFont="1" applyBorder="1"/>
    <xf numFmtId="167" fontId="3" fillId="0" borderId="7" xfId="0" applyNumberFormat="1" applyFont="1" applyBorder="1" applyAlignment="1">
      <alignment vertical="center" wrapText="1"/>
    </xf>
    <xf numFmtId="0" fontId="4" fillId="0" borderId="0" xfId="0" applyFont="1"/>
    <xf numFmtId="165" fontId="1" fillId="0" borderId="0" xfId="0" applyNumberFormat="1" applyFont="1"/>
    <xf numFmtId="0" fontId="5" fillId="3" borderId="8" xfId="0" applyFont="1" applyFill="1" applyBorder="1"/>
    <xf numFmtId="10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9" xfId="0" pivotButton="1" applyBorder="1"/>
    <xf numFmtId="0" fontId="0" fillId="0" borderId="10" xfId="0" applyBorder="1"/>
    <xf numFmtId="0" fontId="0" fillId="0" borderId="9" xfId="0" applyBorder="1"/>
    <xf numFmtId="10" fontId="0" fillId="0" borderId="10" xfId="0" applyNumberFormat="1" applyBorder="1"/>
    <xf numFmtId="0" fontId="0" fillId="0" borderId="11" xfId="0" applyBorder="1"/>
    <xf numFmtId="10" fontId="0" fillId="0" borderId="12" xfId="0" applyNumberFormat="1" applyBorder="1"/>
    <xf numFmtId="0" fontId="0" fillId="0" borderId="13" xfId="0" applyBorder="1"/>
    <xf numFmtId="10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0" fontId="0" fillId="0" borderId="9" xfId="0" applyNumberFormat="1" applyBorder="1"/>
    <xf numFmtId="10" fontId="0" fillId="0" borderId="17" xfId="0" applyNumberFormat="1" applyBorder="1"/>
    <xf numFmtId="10" fontId="0" fillId="0" borderId="11" xfId="0" applyNumberFormat="1" applyBorder="1"/>
    <xf numFmtId="10" fontId="0" fillId="0" borderId="2" xfId="0" applyNumberFormat="1" applyBorder="1"/>
    <xf numFmtId="10" fontId="0" fillId="0" borderId="13" xfId="0" applyNumberFormat="1" applyBorder="1"/>
    <xf numFmtId="10" fontId="0" fillId="0" borderId="20" xfId="0" applyNumberFormat="1" applyBorder="1"/>
    <xf numFmtId="0" fontId="6" fillId="0" borderId="0" xfId="0" applyFont="1"/>
    <xf numFmtId="0" fontId="0" fillId="0" borderId="9" xfId="0" applyBorder="1" applyAlignment="1">
      <alignment horizontal="left"/>
    </xf>
    <xf numFmtId="165" fontId="0" fillId="0" borderId="10" xfId="0" applyNumberFormat="1" applyBorder="1"/>
    <xf numFmtId="0" fontId="0" fillId="0" borderId="18" xfId="0" applyBorder="1" applyAlignment="1">
      <alignment horizontal="left"/>
    </xf>
    <xf numFmtId="165" fontId="0" fillId="0" borderId="21" xfId="0" applyNumberFormat="1" applyBorder="1"/>
    <xf numFmtId="0" fontId="0" fillId="0" borderId="13" xfId="0" applyBorder="1" applyAlignment="1">
      <alignment horizontal="left"/>
    </xf>
    <xf numFmtId="165" fontId="0" fillId="0" borderId="14" xfId="0" applyNumberFormat="1" applyBorder="1"/>
    <xf numFmtId="0" fontId="7" fillId="0" borderId="0" xfId="0" applyFont="1"/>
    <xf numFmtId="0" fontId="0" fillId="0" borderId="14" xfId="0" applyNumberFormat="1" applyBorder="1"/>
    <xf numFmtId="0" fontId="0" fillId="0" borderId="9" xfId="0" applyNumberFormat="1" applyBorder="1"/>
    <xf numFmtId="0" fontId="0" fillId="0" borderId="17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2" xfId="0" applyNumberFormat="1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20" xfId="0" applyNumberFormat="1" applyBorder="1"/>
    <xf numFmtId="0" fontId="0" fillId="4" borderId="0" xfId="0" applyFill="1" applyAlignment="1">
      <alignment horizontal="center"/>
    </xf>
    <xf numFmtId="14" fontId="0" fillId="0" borderId="0" xfId="0" applyNumberFormat="1"/>
    <xf numFmtId="0" fontId="8" fillId="0" borderId="0" xfId="0" applyFont="1"/>
    <xf numFmtId="169" fontId="0" fillId="0" borderId="14" xfId="0" applyNumberFormat="1" applyBorder="1"/>
  </cellXfs>
  <cellStyles count="1">
    <cellStyle name="Normal" xfId="0" builtinId="0"/>
  </cellStyles>
  <dxfs count="7">
    <dxf>
      <numFmt numFmtId="169" formatCode="0.0,&quot;k&quot;"/>
    </dxf>
    <dxf>
      <numFmt numFmtId="169" formatCode="0.0,&quot;k&quot;"/>
    </dxf>
    <dxf>
      <numFmt numFmtId="169" formatCode="0.0,&quot;k&quot;"/>
    </dxf>
    <dxf>
      <numFmt numFmtId="19" formatCode="dd/mm/yyyy"/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 xr9:uid="{00000000-0011-0000-FFFF-FFFF00000000}">
      <tableStyleElement type="headerRow" dxfId="6"/>
      <tableStyleElement type="firstRowStripe" dxfId="5"/>
      <tableStyleElement type="secondRowStripe" dxfId="4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6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9444444444444448E-2"/>
              <c:y val="-7.0323488045007043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2.7777777777777693E-2"/>
              <c:y val="9.1420534458509006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6.9444444444444448E-2"/>
              <c:y val="0.10548523206751055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8.3174759405074364E-2"/>
              <c:y val="0.12658227848101267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574074074074074"/>
              <c:y val="-0.14064697609001406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9444444444444448E-2"/>
              <c:y val="-7.0323488045007043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2.7777777777777693E-2"/>
              <c:y val="9.1420534458509006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6.9444444444444448E-2"/>
              <c:y val="0.10548523206751055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8.3174759405074364E-2"/>
              <c:y val="0.12658227848101267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574074074074074"/>
              <c:y val="-0.14064697609001406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"/>
          <c:y val="8.7769596535743497E-2"/>
          <c:w val="0.82788625819210937"/>
          <c:h val="0.91223059888427704"/>
        </c:manualLayout>
      </c:layout>
      <c:doughnutChart>
        <c:varyColors val="1"/>
        <c:ser>
          <c:idx val="0"/>
          <c:order val="0"/>
          <c:tx>
            <c:strRef>
              <c:f>Pivot!$B$54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EC8-4427-86AB-A7040189D1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EC8-4427-86AB-A7040189D1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EC8-4427-86AB-A7040189D1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EC8-4427-86AB-A7040189D1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EC8-4427-86AB-A7040189D1C8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Pivot!$A$55:$A$60</c:f>
              <c:strCache>
                <c:ptCount val="5"/>
                <c:pt idx="0">
                  <c:v>Abu Dhabi</c:v>
                </c:pt>
                <c:pt idx="1">
                  <c:v>Ajman</c:v>
                </c:pt>
                <c:pt idx="2">
                  <c:v>Al Ain</c:v>
                </c:pt>
                <c:pt idx="3">
                  <c:v>Dubai</c:v>
                </c:pt>
                <c:pt idx="4">
                  <c:v>Sharjah</c:v>
                </c:pt>
              </c:strCache>
            </c:strRef>
          </c:cat>
          <c:val>
            <c:numRef>
              <c:f>Pivot!$B$55:$B$60</c:f>
              <c:numCache>
                <c:formatCode>0.00%</c:formatCode>
                <c:ptCount val="5"/>
                <c:pt idx="0">
                  <c:v>0.25971677071996502</c:v>
                </c:pt>
                <c:pt idx="1">
                  <c:v>0.15935936171912551</c:v>
                </c:pt>
                <c:pt idx="2">
                  <c:v>0.15157828357241362</c:v>
                </c:pt>
                <c:pt idx="3">
                  <c:v>0.29742479546225464</c:v>
                </c:pt>
                <c:pt idx="4">
                  <c:v>0.1319207885262412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C8-4427-86AB-A7040189D1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5</c:name>
    <c:fmtId val="3"/>
  </c:pivotSource>
  <c:chart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334264218099513"/>
          <c:y val="3.9328358277012088E-2"/>
          <c:w val="0.79665735781900493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Pivot!$B$47:$B$48</c:f>
              <c:strCache>
                <c:ptCount val="1"/>
                <c:pt idx="0">
                  <c:v>Ads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Pivot!$B$49:$B$51</c:f>
              <c:numCache>
                <c:formatCode>0.00%</c:formatCode>
                <c:ptCount val="2"/>
                <c:pt idx="0">
                  <c:v>0.35907376070907604</c:v>
                </c:pt>
                <c:pt idx="1">
                  <c:v>0.23001713211226407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3-4272-B7A5-FACE33937B2B}"/>
            </c:ext>
          </c:extLst>
        </c:ser>
        <c:ser>
          <c:idx val="1"/>
          <c:order val="1"/>
          <c:tx>
            <c:strRef>
              <c:f>Pivot!$C$47:$C$48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Pivot!$C$49:$C$51</c:f>
              <c:numCache>
                <c:formatCode>0.00%</c:formatCode>
                <c:ptCount val="2"/>
                <c:pt idx="0">
                  <c:v>0.33048552046367552</c:v>
                </c:pt>
                <c:pt idx="1">
                  <c:v>0.38048833484225919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3-4272-B7A5-FACE33937B2B}"/>
            </c:ext>
          </c:extLst>
        </c:ser>
        <c:ser>
          <c:idx val="2"/>
          <c:order val="2"/>
          <c:tx>
            <c:strRef>
              <c:f>Pivot!$D$47:$D$48</c:f>
              <c:strCache>
                <c:ptCount val="1"/>
                <c:pt idx="0">
                  <c:v>Walk in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Pivot!$D$49:$D$51</c:f>
              <c:numCache>
                <c:formatCode>0.00%</c:formatCode>
                <c:ptCount val="2"/>
                <c:pt idx="0">
                  <c:v>0.3104407188272485</c:v>
                </c:pt>
                <c:pt idx="1">
                  <c:v>0.38949453304547671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93-4272-B7A5-FACE33937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9840143"/>
        <c:axId val="1369823823"/>
      </c:barChart>
      <c:catAx>
        <c:axId val="1369840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23823"/>
        <c:crosses val="autoZero"/>
        <c:auto val="1"/>
        <c:lblAlgn val="ctr"/>
        <c:lblOffset val="100"/>
        <c:noMultiLvlLbl val="0"/>
      </c:catAx>
      <c:valAx>
        <c:axId val="1369823823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3698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7</c:name>
    <c:fmtId val="5"/>
  </c:pivotSource>
  <c:chart>
    <c:autoTitleDeleted val="1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Pivot!$B$99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Pivot!$A$100:$A$105</c:f>
              <c:strCache>
                <c:ptCount val="5"/>
                <c:pt idx="0">
                  <c:v>Ads</c:v>
                </c:pt>
                <c:pt idx="1">
                  <c:v>App Dev</c:v>
                </c:pt>
                <c:pt idx="2">
                  <c:v>SEO</c:v>
                </c:pt>
                <c:pt idx="3">
                  <c:v>Social Media</c:v>
                </c:pt>
                <c:pt idx="4">
                  <c:v>Web Dev</c:v>
                </c:pt>
              </c:strCache>
            </c:strRef>
          </c:cat>
          <c:val>
            <c:numRef>
              <c:f>Pivot!$B$100:$B$105</c:f>
              <c:numCache>
                <c:formatCode>General</c:formatCode>
                <c:ptCount val="5"/>
                <c:pt idx="0">
                  <c:v>583377</c:v>
                </c:pt>
                <c:pt idx="1">
                  <c:v>534926</c:v>
                </c:pt>
                <c:pt idx="2">
                  <c:v>814320</c:v>
                </c:pt>
                <c:pt idx="3">
                  <c:v>487265</c:v>
                </c:pt>
                <c:pt idx="4">
                  <c:v>634316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C-4B88-8415-13B29D9F0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648144"/>
        <c:axId val="867652464"/>
      </c:barChart>
      <c:catAx>
        <c:axId val="86764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52464"/>
        <c:crosses val="autoZero"/>
        <c:auto val="1"/>
        <c:lblAlgn val="ctr"/>
        <c:lblOffset val="100"/>
        <c:noMultiLvlLbl val="0"/>
      </c:catAx>
      <c:valAx>
        <c:axId val="867652464"/>
        <c:scaling>
          <c:orientation val="minMax"/>
        </c:scaling>
        <c:delete val="0"/>
        <c:axPos val="l"/>
        <c:numFmt formatCode="&quot;$&quot;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8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rgbClr val="FF9900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586011691760082"/>
          <c:y val="6.7407462258300396E-2"/>
          <c:w val="0.47885908257952331"/>
          <c:h val="1"/>
        </c:manualLayout>
      </c:layout>
      <c:pieChart>
        <c:varyColors val="1"/>
        <c:ser>
          <c:idx val="0"/>
          <c:order val="0"/>
          <c:tx>
            <c:strRef>
              <c:f>Pivot!$B$108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49E-437B-A03D-E91CC7F60C60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49E-437B-A03D-E91CC7F60C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49E-437B-A03D-E91CC7F60C60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Pivot!$A$109:$A$112</c:f>
              <c:strCache>
                <c:ptCount val="3"/>
                <c:pt idx="0">
                  <c:v>Copywriting</c:v>
                </c:pt>
                <c:pt idx="1">
                  <c:v>Design</c:v>
                </c:pt>
                <c:pt idx="2">
                  <c:v>Marketing</c:v>
                </c:pt>
              </c:strCache>
            </c:strRef>
          </c:cat>
          <c:val>
            <c:numRef>
              <c:f>Pivot!$B$109:$B$112</c:f>
              <c:numCache>
                <c:formatCode>0.00%</c:formatCode>
                <c:ptCount val="3"/>
                <c:pt idx="0">
                  <c:v>0.21853084220195748</c:v>
                </c:pt>
                <c:pt idx="1">
                  <c:v>0.46799928830951765</c:v>
                </c:pt>
                <c:pt idx="2">
                  <c:v>0.31346986948852473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9E-437B-A03D-E91CC7F60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9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638845144356951E-2"/>
          <c:y val="0.10354609712236632"/>
          <c:w val="0.92666666666666664"/>
          <c:h val="0.63764318483742699"/>
        </c:manualLayout>
      </c:layout>
      <c:lineChart>
        <c:grouping val="stacked"/>
        <c:varyColors val="0"/>
        <c:ser>
          <c:idx val="0"/>
          <c:order val="0"/>
          <c:tx>
            <c:strRef>
              <c:f>Pivot!$C$115:$C$116</c:f>
              <c:strCache>
                <c:ptCount val="1"/>
                <c:pt idx="0">
                  <c:v>New Sale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Pivot!$A$117:$B$143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Pivot!$C$117:$C$143</c:f>
              <c:numCache>
                <c:formatCode>General</c:formatCode>
                <c:ptCount val="24"/>
                <c:pt idx="0">
                  <c:v>23025</c:v>
                </c:pt>
                <c:pt idx="1">
                  <c:v>30477</c:v>
                </c:pt>
                <c:pt idx="2">
                  <c:v>55571</c:v>
                </c:pt>
                <c:pt idx="3">
                  <c:v>24170</c:v>
                </c:pt>
                <c:pt idx="4">
                  <c:v>23651</c:v>
                </c:pt>
                <c:pt idx="5">
                  <c:v>24652</c:v>
                </c:pt>
                <c:pt idx="6">
                  <c:v>43859</c:v>
                </c:pt>
                <c:pt idx="7">
                  <c:v>27566</c:v>
                </c:pt>
                <c:pt idx="8">
                  <c:v>54209</c:v>
                </c:pt>
                <c:pt idx="9">
                  <c:v>54808</c:v>
                </c:pt>
                <c:pt idx="10">
                  <c:v>31692</c:v>
                </c:pt>
                <c:pt idx="11">
                  <c:v>66028</c:v>
                </c:pt>
                <c:pt idx="12">
                  <c:v>54868</c:v>
                </c:pt>
                <c:pt idx="13">
                  <c:v>30285</c:v>
                </c:pt>
                <c:pt idx="14">
                  <c:v>52109</c:v>
                </c:pt>
                <c:pt idx="15">
                  <c:v>34483</c:v>
                </c:pt>
                <c:pt idx="16">
                  <c:v>19979</c:v>
                </c:pt>
                <c:pt idx="17">
                  <c:v>42416</c:v>
                </c:pt>
                <c:pt idx="18">
                  <c:v>70938</c:v>
                </c:pt>
                <c:pt idx="19">
                  <c:v>79058</c:v>
                </c:pt>
                <c:pt idx="20">
                  <c:v>86998</c:v>
                </c:pt>
                <c:pt idx="21">
                  <c:v>93413</c:v>
                </c:pt>
                <c:pt idx="22">
                  <c:v>86681</c:v>
                </c:pt>
                <c:pt idx="23">
                  <c:v>37526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1-4E19-909D-729302349BFE}"/>
            </c:ext>
          </c:extLst>
        </c:ser>
        <c:ser>
          <c:idx val="1"/>
          <c:order val="1"/>
          <c:tx>
            <c:strRef>
              <c:f>Pivot!$D$115:$D$116</c:f>
              <c:strCache>
                <c:ptCount val="1"/>
                <c:pt idx="0">
                  <c:v>Repeat Sale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Pivot!$A$117:$B$143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Pivot!$D$117:$D$143</c:f>
              <c:numCache>
                <c:formatCode>General</c:formatCode>
                <c:ptCount val="24"/>
                <c:pt idx="0">
                  <c:v>52406</c:v>
                </c:pt>
                <c:pt idx="1">
                  <c:v>47334</c:v>
                </c:pt>
                <c:pt idx="2">
                  <c:v>27557</c:v>
                </c:pt>
                <c:pt idx="3">
                  <c:v>61986</c:v>
                </c:pt>
                <c:pt idx="4">
                  <c:v>51323</c:v>
                </c:pt>
                <c:pt idx="5">
                  <c:v>55204</c:v>
                </c:pt>
                <c:pt idx="6">
                  <c:v>85450</c:v>
                </c:pt>
                <c:pt idx="7">
                  <c:v>102892</c:v>
                </c:pt>
                <c:pt idx="8">
                  <c:v>83434</c:v>
                </c:pt>
                <c:pt idx="9">
                  <c:v>68914</c:v>
                </c:pt>
                <c:pt idx="10">
                  <c:v>96436</c:v>
                </c:pt>
                <c:pt idx="11">
                  <c:v>66685</c:v>
                </c:pt>
                <c:pt idx="12">
                  <c:v>49529</c:v>
                </c:pt>
                <c:pt idx="13">
                  <c:v>67587</c:v>
                </c:pt>
                <c:pt idx="14">
                  <c:v>48567</c:v>
                </c:pt>
                <c:pt idx="15">
                  <c:v>69436</c:v>
                </c:pt>
                <c:pt idx="16">
                  <c:v>76667</c:v>
                </c:pt>
                <c:pt idx="17">
                  <c:v>67182</c:v>
                </c:pt>
                <c:pt idx="18">
                  <c:v>134591</c:v>
                </c:pt>
                <c:pt idx="19">
                  <c:v>121400</c:v>
                </c:pt>
                <c:pt idx="20">
                  <c:v>100979</c:v>
                </c:pt>
                <c:pt idx="21">
                  <c:v>110663</c:v>
                </c:pt>
                <c:pt idx="22">
                  <c:v>97822</c:v>
                </c:pt>
                <c:pt idx="23">
                  <c:v>161698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1-4E19-909D-729302349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659184"/>
        <c:axId val="867653904"/>
      </c:lineChart>
      <c:catAx>
        <c:axId val="8676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53904"/>
        <c:crosses val="autoZero"/>
        <c:auto val="1"/>
        <c:lblAlgn val="ctr"/>
        <c:lblOffset val="100"/>
        <c:noMultiLvlLbl val="0"/>
      </c:catAx>
      <c:valAx>
        <c:axId val="867653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6765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[AIC_Sales_Analytics_Dashboard.xlsm]Pivot!PivotTable3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8942357801644132"/>
          <c:y val="4.2087940399768126E-2"/>
          <c:w val="0.48241284259220257"/>
          <c:h val="0.93763738078784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Pivot!$F$66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Pivot!$E$67:$E$77</c:f>
              <c:strCache>
                <c:ptCount val="10"/>
                <c:pt idx="0">
                  <c:v>Aetherion Systems</c:v>
                </c:pt>
                <c:pt idx="1">
                  <c:v>Altura Networks</c:v>
                </c:pt>
                <c:pt idx="2">
                  <c:v>Fatima Saeed</c:v>
                </c:pt>
                <c:pt idx="3">
                  <c:v>InfiNova Technologies</c:v>
                </c:pt>
                <c:pt idx="4">
                  <c:v>Octavium Digital</c:v>
                </c:pt>
                <c:pt idx="5">
                  <c:v>Rania Omar</c:v>
                </c:pt>
                <c:pt idx="6">
                  <c:v>Stratoscope</c:v>
                </c:pt>
                <c:pt idx="7">
                  <c:v>Synergenix Labs</c:v>
                </c:pt>
                <c:pt idx="8">
                  <c:v>Vantoro Enterprises</c:v>
                </c:pt>
                <c:pt idx="9">
                  <c:v>Zephyr Industries</c:v>
                </c:pt>
              </c:strCache>
            </c:strRef>
          </c:cat>
          <c:val>
            <c:numRef>
              <c:f>Pivot!$F$67:$F$77</c:f>
              <c:numCache>
                <c:formatCode>_(* #,##0_);_(* \(#,##0\);_(* "-"??_);_(@_)</c:formatCode>
                <c:ptCount val="10"/>
                <c:pt idx="0">
                  <c:v>125250</c:v>
                </c:pt>
                <c:pt idx="1">
                  <c:v>117796</c:v>
                </c:pt>
                <c:pt idx="2">
                  <c:v>144481</c:v>
                </c:pt>
                <c:pt idx="3">
                  <c:v>159606</c:v>
                </c:pt>
                <c:pt idx="4">
                  <c:v>153528</c:v>
                </c:pt>
                <c:pt idx="5">
                  <c:v>121631</c:v>
                </c:pt>
                <c:pt idx="6">
                  <c:v>126675</c:v>
                </c:pt>
                <c:pt idx="7">
                  <c:v>174699</c:v>
                </c:pt>
                <c:pt idx="8">
                  <c:v>190001</c:v>
                </c:pt>
                <c:pt idx="9">
                  <c:v>117139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6-444B-AA1E-FBBCBD037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628464"/>
        <c:axId val="867626544"/>
      </c:barChart>
      <c:catAx>
        <c:axId val="867628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26544"/>
        <c:crosses val="autoZero"/>
        <c:auto val="1"/>
        <c:lblAlgn val="ctr"/>
        <c:lblOffset val="100"/>
        <c:noMultiLvlLbl val="0"/>
      </c:catAx>
      <c:valAx>
        <c:axId val="867626544"/>
        <c:scaling>
          <c:orientation val="minMax"/>
        </c:scaling>
        <c:delete val="1"/>
        <c:axPos val="b"/>
        <c:numFmt formatCode="_(* #,##0_);_(* \(#,##0\);_(* &quot;-&quot;??_);_(@_)" sourceLinked="1"/>
        <c:majorTickMark val="none"/>
        <c:minorTickMark val="none"/>
        <c:tickLblPos val="nextTo"/>
        <c:crossAx val="8676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3</c:name>
    <c:fmtId val="3"/>
  </c:pivotSource>
  <c:chart>
    <c:autoTitleDeleted val="1"/>
    <c:pivotFmts>
      <c:pivotFmt>
        <c:idx val="0"/>
        <c:spPr>
          <a:gradFill>
            <a:gsLst>
              <a:gs pos="27000">
                <a:schemeClr val="accent2">
                  <a:lumMod val="75000"/>
                </a:schemeClr>
              </a:gs>
              <a:gs pos="77000">
                <a:schemeClr val="accent2">
                  <a:lumMod val="60000"/>
                  <a:lumOff val="40000"/>
                </a:schemeClr>
              </a:gs>
              <a:gs pos="88000">
                <a:schemeClr val="accent2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27000">
                <a:schemeClr val="accent6">
                  <a:lumMod val="75000"/>
                </a:schemeClr>
              </a:gs>
              <a:gs pos="77000">
                <a:schemeClr val="accent6">
                  <a:lumMod val="60000"/>
                  <a:lumOff val="40000"/>
                </a:schemeClr>
              </a:gs>
              <a:gs pos="88000">
                <a:schemeClr val="accent6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27000">
                <a:schemeClr val="bg2">
                  <a:lumMod val="50000"/>
                </a:schemeClr>
              </a:gs>
              <a:gs pos="77000">
                <a:schemeClr val="bg2">
                  <a:lumMod val="65000"/>
                </a:schemeClr>
              </a:gs>
              <a:gs pos="88000">
                <a:schemeClr val="bg2">
                  <a:lumMod val="75000"/>
                </a:schemeClr>
              </a:gs>
              <a:gs pos="100000">
                <a:schemeClr val="bg2">
                  <a:lumMod val="8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27000">
                <a:schemeClr val="accent2">
                  <a:lumMod val="75000"/>
                </a:schemeClr>
              </a:gs>
              <a:gs pos="77000">
                <a:schemeClr val="accent2">
                  <a:lumMod val="60000"/>
                  <a:lumOff val="40000"/>
                </a:schemeClr>
              </a:gs>
              <a:gs pos="88000">
                <a:schemeClr val="accent2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27000">
                <a:schemeClr val="accent6">
                  <a:lumMod val="75000"/>
                </a:schemeClr>
              </a:gs>
              <a:gs pos="77000">
                <a:schemeClr val="accent6">
                  <a:lumMod val="60000"/>
                  <a:lumOff val="40000"/>
                </a:schemeClr>
              </a:gs>
              <a:gs pos="88000">
                <a:schemeClr val="accent6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5"/>
        <c:spPr>
          <a:gradFill>
            <a:gsLst>
              <a:gs pos="27000">
                <a:schemeClr val="bg2">
                  <a:lumMod val="50000"/>
                </a:schemeClr>
              </a:gs>
              <a:gs pos="77000">
                <a:schemeClr val="bg2">
                  <a:lumMod val="65000"/>
                </a:schemeClr>
              </a:gs>
              <a:gs pos="88000">
                <a:schemeClr val="bg2">
                  <a:lumMod val="75000"/>
                </a:schemeClr>
              </a:gs>
              <a:gs pos="100000">
                <a:schemeClr val="bg2">
                  <a:lumMod val="8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6"/>
        <c:spPr>
          <a:gradFill>
            <a:gsLst>
              <a:gs pos="27000">
                <a:schemeClr val="accent2">
                  <a:lumMod val="75000"/>
                </a:schemeClr>
              </a:gs>
              <a:gs pos="77000">
                <a:schemeClr val="accent2">
                  <a:lumMod val="60000"/>
                  <a:lumOff val="40000"/>
                </a:schemeClr>
              </a:gs>
              <a:gs pos="88000">
                <a:schemeClr val="accent2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8626465661641543E-2"/>
          <c:y val="0"/>
          <c:w val="0.93888888888888888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Pivot!$B$11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27000">
                  <a:schemeClr val="accent2">
                    <a:lumMod val="75000"/>
                  </a:schemeClr>
                </a:gs>
                <a:gs pos="77000">
                  <a:schemeClr val="accent2">
                    <a:lumMod val="60000"/>
                    <a:lumOff val="40000"/>
                  </a:schemeClr>
                </a:gs>
                <a:gs pos="88000">
                  <a:schemeClr val="accent2">
                    <a:lumMod val="40000"/>
                    <a:lumOff val="60000"/>
                  </a:schemeClr>
                </a:gs>
                <a:gs pos="100000">
                  <a:schemeClr val="accent2">
                    <a:lumMod val="20000"/>
                    <a:lumOff val="8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A-4B6A-A785-9F53BEBAE34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A-4B6A-A785-9F53BEBAE34A}"/>
              </c:ext>
            </c:extLst>
          </c:dPt>
          <c:cat>
            <c:strRef>
              <c:f>Pivot!$A$12:$A$14</c:f>
              <c:strCache>
                <c:ptCount val="2"/>
                <c:pt idx="0">
                  <c:v>New Sale</c:v>
                </c:pt>
                <c:pt idx="1">
                  <c:v>Repeat Sale</c:v>
                </c:pt>
              </c:strCache>
            </c:strRef>
          </c:cat>
          <c:val>
            <c:numRef>
              <c:f>Pivot!$B$12:$B$14</c:f>
              <c:numCache>
                <c:formatCode>General</c:formatCode>
                <c:ptCount val="2"/>
                <c:pt idx="0">
                  <c:v>182</c:v>
                </c:pt>
                <c:pt idx="1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A-4B6A-A785-9F53BEBAE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364063"/>
        <c:axId val="946383743"/>
      </c:barChart>
      <c:catAx>
        <c:axId val="94636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6383743"/>
        <c:crosses val="autoZero"/>
        <c:auto val="1"/>
        <c:lblAlgn val="ctr"/>
        <c:lblOffset val="100"/>
        <c:noMultiLvlLbl val="0"/>
      </c:catAx>
      <c:valAx>
        <c:axId val="9463837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636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4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Pivot!$C$17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Pivot!$A$18:$B$44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Pivot!$C$18:$C$44</c:f>
              <c:numCache>
                <c:formatCode>General</c:formatCode>
                <c:ptCount val="24"/>
                <c:pt idx="0">
                  <c:v>75431</c:v>
                </c:pt>
                <c:pt idx="1">
                  <c:v>77811</c:v>
                </c:pt>
                <c:pt idx="2">
                  <c:v>83128</c:v>
                </c:pt>
                <c:pt idx="3">
                  <c:v>86156</c:v>
                </c:pt>
                <c:pt idx="4">
                  <c:v>74974</c:v>
                </c:pt>
                <c:pt idx="5">
                  <c:v>79856</c:v>
                </c:pt>
                <c:pt idx="6">
                  <c:v>129309</c:v>
                </c:pt>
                <c:pt idx="7">
                  <c:v>130458</c:v>
                </c:pt>
                <c:pt idx="8">
                  <c:v>137643</c:v>
                </c:pt>
                <c:pt idx="9">
                  <c:v>123722</c:v>
                </c:pt>
                <c:pt idx="10">
                  <c:v>128128</c:v>
                </c:pt>
                <c:pt idx="11">
                  <c:v>132713</c:v>
                </c:pt>
                <c:pt idx="12">
                  <c:v>104397</c:v>
                </c:pt>
                <c:pt idx="13">
                  <c:v>97872</c:v>
                </c:pt>
                <c:pt idx="14">
                  <c:v>100676</c:v>
                </c:pt>
                <c:pt idx="15">
                  <c:v>103919</c:v>
                </c:pt>
                <c:pt idx="16">
                  <c:v>96646</c:v>
                </c:pt>
                <c:pt idx="17">
                  <c:v>109598</c:v>
                </c:pt>
                <c:pt idx="18">
                  <c:v>205529</c:v>
                </c:pt>
                <c:pt idx="19">
                  <c:v>200458</c:v>
                </c:pt>
                <c:pt idx="20">
                  <c:v>187977</c:v>
                </c:pt>
                <c:pt idx="21">
                  <c:v>204076</c:v>
                </c:pt>
                <c:pt idx="22">
                  <c:v>184503</c:v>
                </c:pt>
                <c:pt idx="23">
                  <c:v>199224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5-44A1-85DF-2A6FC2CCA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223183"/>
        <c:axId val="882223663"/>
      </c:lineChart>
      <c:catAx>
        <c:axId val="882223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223663"/>
        <c:crosses val="autoZero"/>
        <c:auto val="1"/>
        <c:lblAlgn val="ctr"/>
        <c:lblOffset val="100"/>
        <c:noMultiLvlLbl val="0"/>
      </c:catAx>
      <c:valAx>
        <c:axId val="8822236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222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9444444444444448E-2"/>
              <c:y val="-7.0323488045007043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2.7777777777777693E-2"/>
              <c:y val="9.1420534458509006E-2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6.9444444444444448E-2"/>
              <c:y val="0.10548523206751055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8.3174759405074364E-2"/>
              <c:y val="0.12658227848101267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574074074074074"/>
              <c:y val="-0.14064697609001406"/>
            </c:manualLayout>
          </c:layout>
          <c:spPr>
            <a:pattFill prst="pct70">
              <a:fgClr>
                <a:srgbClr val="FFFFFF">
                  <a:lumMod val="65000"/>
                </a:srgbClr>
              </a:fgClr>
              <a:bgClr>
                <a:srgbClr val="FFFFFF">
                  <a:lumMod val="7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Pivot!$B$54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DF8-4433-A5E4-DCCAB6C2FB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F8-4433-A5E4-DCCAB6C2FB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DF8-4433-A5E4-DCCAB6C2FBD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F8-4433-A5E4-DCCAB6C2FBD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6DF8-4433-A5E4-DCCAB6C2FBD2}"/>
              </c:ext>
            </c:extLst>
          </c:dPt>
          <c:dLbls>
            <c:dLbl>
              <c:idx val="0"/>
              <c:layout>
                <c:manualLayout>
                  <c:x val="6.9444444444444448E-2"/>
                  <c:y val="-7.0323488045007043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F8-4433-A5E4-DCCAB6C2FBD2}"/>
                </c:ext>
              </c:extLst>
            </c:dLbl>
            <c:dLbl>
              <c:idx val="1"/>
              <c:layout>
                <c:manualLayout>
                  <c:x val="2.7777777777777693E-2"/>
                  <c:y val="9.1420534458509006E-2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F8-4433-A5E4-DCCAB6C2FBD2}"/>
                </c:ext>
              </c:extLst>
            </c:dLbl>
            <c:dLbl>
              <c:idx val="2"/>
              <c:layout>
                <c:manualLayout>
                  <c:x val="-6.9444444444444448E-2"/>
                  <c:y val="0.10548523206751055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F8-4433-A5E4-DCCAB6C2FBD2}"/>
                </c:ext>
              </c:extLst>
            </c:dLbl>
            <c:dLbl>
              <c:idx val="3"/>
              <c:layout>
                <c:manualLayout>
                  <c:x val="-8.3174759405074364E-2"/>
                  <c:y val="0.12658227848101267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DF8-4433-A5E4-DCCAB6C2FBD2}"/>
                </c:ext>
              </c:extLst>
            </c:dLbl>
            <c:dLbl>
              <c:idx val="4"/>
              <c:layout>
                <c:manualLayout>
                  <c:x val="-0.11574074074074074"/>
                  <c:y val="-0.14064697609001406"/>
                </c:manualLayout>
              </c:layout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F8-4433-A5E4-DCCAB6C2FBD2}"/>
                </c:ext>
              </c:extLst>
            </c:dLbl>
            <c:spPr>
              <a:pattFill prst="pct70">
                <a:fgClr>
                  <a:srgbClr val="FFFFFF">
                    <a:lumMod val="65000"/>
                  </a:srgbClr>
                </a:fgClr>
                <a:bgClr>
                  <a:srgbClr val="FFFFFF">
                    <a:lumMod val="7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Pivot!$A$55:$A$60</c:f>
              <c:strCache>
                <c:ptCount val="5"/>
                <c:pt idx="0">
                  <c:v>Abu Dhabi</c:v>
                </c:pt>
                <c:pt idx="1">
                  <c:v>Ajman</c:v>
                </c:pt>
                <c:pt idx="2">
                  <c:v>Al Ain</c:v>
                </c:pt>
                <c:pt idx="3">
                  <c:v>Dubai</c:v>
                </c:pt>
                <c:pt idx="4">
                  <c:v>Sharjah</c:v>
                </c:pt>
              </c:strCache>
            </c:strRef>
          </c:cat>
          <c:val>
            <c:numRef>
              <c:f>Pivot!$B$55:$B$60</c:f>
              <c:numCache>
                <c:formatCode>0.00%</c:formatCode>
                <c:ptCount val="5"/>
                <c:pt idx="0">
                  <c:v>0.25971677071996502</c:v>
                </c:pt>
                <c:pt idx="1">
                  <c:v>0.15935936171912551</c:v>
                </c:pt>
                <c:pt idx="2">
                  <c:v>0.15157828357241362</c:v>
                </c:pt>
                <c:pt idx="3">
                  <c:v>0.29742479546225464</c:v>
                </c:pt>
                <c:pt idx="4">
                  <c:v>0.1319207885262412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8-4433-A5E4-DCCAB6C2FB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5</c:name>
    <c:fmtId val="0"/>
  </c:pivotSource>
  <c:chart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9136482939632541E-2"/>
          <c:y val="7.407407407407407E-2"/>
          <c:w val="0.84010651793525815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Pivot!$B$47:$B$48</c:f>
              <c:strCache>
                <c:ptCount val="1"/>
                <c:pt idx="0">
                  <c:v>Ads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Pivot!$B$49:$B$51</c:f>
              <c:numCache>
                <c:formatCode>0.00%</c:formatCode>
                <c:ptCount val="2"/>
                <c:pt idx="0">
                  <c:v>0.35907376070907604</c:v>
                </c:pt>
                <c:pt idx="1">
                  <c:v>0.23001713211226407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B-4241-8381-C2030E987BD8}"/>
            </c:ext>
          </c:extLst>
        </c:ser>
        <c:ser>
          <c:idx val="1"/>
          <c:order val="1"/>
          <c:tx>
            <c:strRef>
              <c:f>Pivot!$C$47:$C$48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Pivot!$C$49:$C$51</c:f>
              <c:numCache>
                <c:formatCode>0.00%</c:formatCode>
                <c:ptCount val="2"/>
                <c:pt idx="0">
                  <c:v>0.33048552046367552</c:v>
                </c:pt>
                <c:pt idx="1">
                  <c:v>0.38048833484225919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9B-4241-8381-C2030E987BD8}"/>
            </c:ext>
          </c:extLst>
        </c:ser>
        <c:ser>
          <c:idx val="2"/>
          <c:order val="2"/>
          <c:tx>
            <c:strRef>
              <c:f>Pivot!$D$47:$D$48</c:f>
              <c:strCache>
                <c:ptCount val="1"/>
                <c:pt idx="0">
                  <c:v>Walk in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Pivot!$A$49:$A$51</c:f>
              <c:strCache>
                <c:ptCount val="2"/>
                <c:pt idx="0">
                  <c:v>2023</c:v>
                </c:pt>
                <c:pt idx="1">
                  <c:v>2024</c:v>
                </c:pt>
              </c:strCache>
            </c:strRef>
          </c:cat>
          <c:val>
            <c:numRef>
              <c:f>Pivot!$D$49:$D$51</c:f>
              <c:numCache>
                <c:formatCode>0.00%</c:formatCode>
                <c:ptCount val="2"/>
                <c:pt idx="0">
                  <c:v>0.3104407188272485</c:v>
                </c:pt>
                <c:pt idx="1">
                  <c:v>0.38949453304547671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9B-4241-8381-C2030E987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9840143"/>
        <c:axId val="1369823823"/>
      </c:barChart>
      <c:catAx>
        <c:axId val="1369840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23823"/>
        <c:crosses val="autoZero"/>
        <c:auto val="1"/>
        <c:lblAlgn val="ctr"/>
        <c:lblOffset val="100"/>
        <c:noMultiLvlLbl val="0"/>
      </c:catAx>
      <c:valAx>
        <c:axId val="1369823823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36984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7</c:name>
    <c:fmtId val="0"/>
  </c:pivotSource>
  <c:chart>
    <c:autoTitleDeleted val="1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Pivot!$B$99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Pivot!$A$100:$A$105</c:f>
              <c:strCache>
                <c:ptCount val="5"/>
                <c:pt idx="0">
                  <c:v>Ads</c:v>
                </c:pt>
                <c:pt idx="1">
                  <c:v>App Dev</c:v>
                </c:pt>
                <c:pt idx="2">
                  <c:v>SEO</c:v>
                </c:pt>
                <c:pt idx="3">
                  <c:v>Social Media</c:v>
                </c:pt>
                <c:pt idx="4">
                  <c:v>Web Dev</c:v>
                </c:pt>
              </c:strCache>
            </c:strRef>
          </c:cat>
          <c:val>
            <c:numRef>
              <c:f>Pivot!$B$100:$B$105</c:f>
              <c:numCache>
                <c:formatCode>General</c:formatCode>
                <c:ptCount val="5"/>
                <c:pt idx="0">
                  <c:v>583377</c:v>
                </c:pt>
                <c:pt idx="1">
                  <c:v>534926</c:v>
                </c:pt>
                <c:pt idx="2">
                  <c:v>814320</c:v>
                </c:pt>
                <c:pt idx="3">
                  <c:v>487265</c:v>
                </c:pt>
                <c:pt idx="4">
                  <c:v>634316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5-4DFD-B352-BD7D19F09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648144"/>
        <c:axId val="867652464"/>
      </c:barChart>
      <c:catAx>
        <c:axId val="86764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52464"/>
        <c:crosses val="autoZero"/>
        <c:auto val="1"/>
        <c:lblAlgn val="ctr"/>
        <c:lblOffset val="100"/>
        <c:noMultiLvlLbl val="0"/>
      </c:catAx>
      <c:valAx>
        <c:axId val="867652464"/>
        <c:scaling>
          <c:orientation val="minMax"/>
        </c:scaling>
        <c:delete val="0"/>
        <c:axPos val="l"/>
        <c:numFmt formatCode="&quot;$&quot;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8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Pivot!$B$108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2E-412A-AF32-8D68F963A4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2E-412A-AF32-8D68F963A4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2E-412A-AF32-8D68F963A450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Pivot!$A$109:$A$112</c:f>
              <c:strCache>
                <c:ptCount val="3"/>
                <c:pt idx="0">
                  <c:v>Copywriting</c:v>
                </c:pt>
                <c:pt idx="1">
                  <c:v>Design</c:v>
                </c:pt>
                <c:pt idx="2">
                  <c:v>Marketing</c:v>
                </c:pt>
              </c:strCache>
            </c:strRef>
          </c:cat>
          <c:val>
            <c:numRef>
              <c:f>Pivot!$B$109:$B$112</c:f>
              <c:numCache>
                <c:formatCode>0.00%</c:formatCode>
                <c:ptCount val="3"/>
                <c:pt idx="0">
                  <c:v>0.21853084220195748</c:v>
                </c:pt>
                <c:pt idx="1">
                  <c:v>0.46799928830951765</c:v>
                </c:pt>
                <c:pt idx="2">
                  <c:v>0.31346986948852473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5-48A3-94B2-FE681D109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Pivot!$C$115:$C$116</c:f>
              <c:strCache>
                <c:ptCount val="1"/>
                <c:pt idx="0">
                  <c:v>New Sale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Pivot!$A$117:$B$143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Pivot!$C$117:$C$143</c:f>
              <c:numCache>
                <c:formatCode>General</c:formatCode>
                <c:ptCount val="24"/>
                <c:pt idx="0">
                  <c:v>23025</c:v>
                </c:pt>
                <c:pt idx="1">
                  <c:v>30477</c:v>
                </c:pt>
                <c:pt idx="2">
                  <c:v>55571</c:v>
                </c:pt>
                <c:pt idx="3">
                  <c:v>24170</c:v>
                </c:pt>
                <c:pt idx="4">
                  <c:v>23651</c:v>
                </c:pt>
                <c:pt idx="5">
                  <c:v>24652</c:v>
                </c:pt>
                <c:pt idx="6">
                  <c:v>43859</c:v>
                </c:pt>
                <c:pt idx="7">
                  <c:v>27566</c:v>
                </c:pt>
                <c:pt idx="8">
                  <c:v>54209</c:v>
                </c:pt>
                <c:pt idx="9">
                  <c:v>54808</c:v>
                </c:pt>
                <c:pt idx="10">
                  <c:v>31692</c:v>
                </c:pt>
                <c:pt idx="11">
                  <c:v>66028</c:v>
                </c:pt>
                <c:pt idx="12">
                  <c:v>54868</c:v>
                </c:pt>
                <c:pt idx="13">
                  <c:v>30285</c:v>
                </c:pt>
                <c:pt idx="14">
                  <c:v>52109</c:v>
                </c:pt>
                <c:pt idx="15">
                  <c:v>34483</c:v>
                </c:pt>
                <c:pt idx="16">
                  <c:v>19979</c:v>
                </c:pt>
                <c:pt idx="17">
                  <c:v>42416</c:v>
                </c:pt>
                <c:pt idx="18">
                  <c:v>70938</c:v>
                </c:pt>
                <c:pt idx="19">
                  <c:v>79058</c:v>
                </c:pt>
                <c:pt idx="20">
                  <c:v>86998</c:v>
                </c:pt>
                <c:pt idx="21">
                  <c:v>93413</c:v>
                </c:pt>
                <c:pt idx="22">
                  <c:v>86681</c:v>
                </c:pt>
                <c:pt idx="23">
                  <c:v>37526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F-4884-94C5-5B577838F994}"/>
            </c:ext>
          </c:extLst>
        </c:ser>
        <c:ser>
          <c:idx val="1"/>
          <c:order val="1"/>
          <c:tx>
            <c:strRef>
              <c:f>Pivot!$D$115:$D$116</c:f>
              <c:strCache>
                <c:ptCount val="1"/>
                <c:pt idx="0">
                  <c:v>Repeat Sale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Pivot!$A$117:$B$143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Pivot!$D$117:$D$143</c:f>
              <c:numCache>
                <c:formatCode>General</c:formatCode>
                <c:ptCount val="24"/>
                <c:pt idx="0">
                  <c:v>52406</c:v>
                </c:pt>
                <c:pt idx="1">
                  <c:v>47334</c:v>
                </c:pt>
                <c:pt idx="2">
                  <c:v>27557</c:v>
                </c:pt>
                <c:pt idx="3">
                  <c:v>61986</c:v>
                </c:pt>
                <c:pt idx="4">
                  <c:v>51323</c:v>
                </c:pt>
                <c:pt idx="5">
                  <c:v>55204</c:v>
                </c:pt>
                <c:pt idx="6">
                  <c:v>85450</c:v>
                </c:pt>
                <c:pt idx="7">
                  <c:v>102892</c:v>
                </c:pt>
                <c:pt idx="8">
                  <c:v>83434</c:v>
                </c:pt>
                <c:pt idx="9">
                  <c:v>68914</c:v>
                </c:pt>
                <c:pt idx="10">
                  <c:v>96436</c:v>
                </c:pt>
                <c:pt idx="11">
                  <c:v>66685</c:v>
                </c:pt>
                <c:pt idx="12">
                  <c:v>49529</c:v>
                </c:pt>
                <c:pt idx="13">
                  <c:v>67587</c:v>
                </c:pt>
                <c:pt idx="14">
                  <c:v>48567</c:v>
                </c:pt>
                <c:pt idx="15">
                  <c:v>69436</c:v>
                </c:pt>
                <c:pt idx="16">
                  <c:v>76667</c:v>
                </c:pt>
                <c:pt idx="17">
                  <c:v>67182</c:v>
                </c:pt>
                <c:pt idx="18">
                  <c:v>134591</c:v>
                </c:pt>
                <c:pt idx="19">
                  <c:v>121400</c:v>
                </c:pt>
                <c:pt idx="20">
                  <c:v>100979</c:v>
                </c:pt>
                <c:pt idx="21">
                  <c:v>110663</c:v>
                </c:pt>
                <c:pt idx="22">
                  <c:v>97822</c:v>
                </c:pt>
                <c:pt idx="23">
                  <c:v>161698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4F-4884-94C5-5B577838F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659184"/>
        <c:axId val="867653904"/>
      </c:lineChart>
      <c:catAx>
        <c:axId val="8676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53904"/>
        <c:crosses val="autoZero"/>
        <c:auto val="1"/>
        <c:lblAlgn val="ctr"/>
        <c:lblOffset val="100"/>
        <c:noMultiLvlLbl val="0"/>
      </c:catAx>
      <c:valAx>
        <c:axId val="867653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6765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Pivot!$F$66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Pivot!$E$67:$E$77</c:f>
              <c:strCache>
                <c:ptCount val="10"/>
                <c:pt idx="0">
                  <c:v>Aetherion Systems</c:v>
                </c:pt>
                <c:pt idx="1">
                  <c:v>Altura Networks</c:v>
                </c:pt>
                <c:pt idx="2">
                  <c:v>Fatima Saeed</c:v>
                </c:pt>
                <c:pt idx="3">
                  <c:v>InfiNova Technologies</c:v>
                </c:pt>
                <c:pt idx="4">
                  <c:v>Octavium Digital</c:v>
                </c:pt>
                <c:pt idx="5">
                  <c:v>Rania Omar</c:v>
                </c:pt>
                <c:pt idx="6">
                  <c:v>Stratoscope</c:v>
                </c:pt>
                <c:pt idx="7">
                  <c:v>Synergenix Labs</c:v>
                </c:pt>
                <c:pt idx="8">
                  <c:v>Vantoro Enterprises</c:v>
                </c:pt>
                <c:pt idx="9">
                  <c:v>Zephyr Industries</c:v>
                </c:pt>
              </c:strCache>
            </c:strRef>
          </c:cat>
          <c:val>
            <c:numRef>
              <c:f>Pivot!$F$67:$F$77</c:f>
              <c:numCache>
                <c:formatCode>_(* #,##0_);_(* \(#,##0\);_(* "-"??_);_(@_)</c:formatCode>
                <c:ptCount val="10"/>
                <c:pt idx="0">
                  <c:v>125250</c:v>
                </c:pt>
                <c:pt idx="1">
                  <c:v>117796</c:v>
                </c:pt>
                <c:pt idx="2">
                  <c:v>144481</c:v>
                </c:pt>
                <c:pt idx="3">
                  <c:v>159606</c:v>
                </c:pt>
                <c:pt idx="4">
                  <c:v>153528</c:v>
                </c:pt>
                <c:pt idx="5">
                  <c:v>121631</c:v>
                </c:pt>
                <c:pt idx="6">
                  <c:v>126675</c:v>
                </c:pt>
                <c:pt idx="7">
                  <c:v>174699</c:v>
                </c:pt>
                <c:pt idx="8">
                  <c:v>190001</c:v>
                </c:pt>
                <c:pt idx="9">
                  <c:v>117139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D-4ACC-AE46-2D9FC1912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628464"/>
        <c:axId val="867626544"/>
      </c:barChart>
      <c:catAx>
        <c:axId val="867628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26544"/>
        <c:crosses val="autoZero"/>
        <c:auto val="1"/>
        <c:lblAlgn val="ctr"/>
        <c:lblOffset val="100"/>
        <c:noMultiLvlLbl val="0"/>
      </c:catAx>
      <c:valAx>
        <c:axId val="867626544"/>
        <c:scaling>
          <c:orientation val="minMax"/>
        </c:scaling>
        <c:delete val="1"/>
        <c:axPos val="b"/>
        <c:numFmt formatCode="_(* #,##0_);_(* \(#,##0\);_(* &quot;-&quot;??_);_(@_)" sourceLinked="1"/>
        <c:majorTickMark val="none"/>
        <c:minorTickMark val="none"/>
        <c:tickLblPos val="nextTo"/>
        <c:crossAx val="8676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3</c:name>
    <c:fmtId val="0"/>
  </c:pivotSource>
  <c:chart>
    <c:autoTitleDeleted val="1"/>
    <c:pivotFmts>
      <c:pivotFmt>
        <c:idx val="0"/>
        <c:spPr>
          <a:gradFill>
            <a:gsLst>
              <a:gs pos="27000">
                <a:schemeClr val="accent2">
                  <a:lumMod val="75000"/>
                </a:schemeClr>
              </a:gs>
              <a:gs pos="77000">
                <a:schemeClr val="accent2">
                  <a:lumMod val="60000"/>
                  <a:lumOff val="40000"/>
                </a:schemeClr>
              </a:gs>
              <a:gs pos="88000">
                <a:schemeClr val="accent2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27000">
                <a:schemeClr val="accent6">
                  <a:lumMod val="75000"/>
                </a:schemeClr>
              </a:gs>
              <a:gs pos="77000">
                <a:schemeClr val="accent6">
                  <a:lumMod val="60000"/>
                  <a:lumOff val="40000"/>
                </a:schemeClr>
              </a:gs>
              <a:gs pos="88000">
                <a:schemeClr val="accent6">
                  <a:lumMod val="40000"/>
                  <a:lumOff val="60000"/>
                </a:schemeClr>
              </a:gs>
              <a:gs pos="100000">
                <a:schemeClr val="accent2">
                  <a:lumMod val="20000"/>
                  <a:lumOff val="8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27000">
                <a:schemeClr val="bg2">
                  <a:lumMod val="50000"/>
                </a:schemeClr>
              </a:gs>
              <a:gs pos="77000">
                <a:schemeClr val="bg2">
                  <a:lumMod val="65000"/>
                </a:schemeClr>
              </a:gs>
              <a:gs pos="88000">
                <a:schemeClr val="bg2">
                  <a:lumMod val="75000"/>
                </a:schemeClr>
              </a:gs>
              <a:gs pos="100000">
                <a:schemeClr val="bg2">
                  <a:lumMod val="8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"/>
          <c:y val="6.4814814814814811E-2"/>
          <c:w val="0.93888888888888888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Pivot!$B$11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27000">
                  <a:schemeClr val="accent2">
                    <a:lumMod val="75000"/>
                  </a:schemeClr>
                </a:gs>
                <a:gs pos="77000">
                  <a:schemeClr val="accent2">
                    <a:lumMod val="60000"/>
                    <a:lumOff val="40000"/>
                  </a:schemeClr>
                </a:gs>
                <a:gs pos="88000">
                  <a:schemeClr val="accent2">
                    <a:lumMod val="40000"/>
                    <a:lumOff val="60000"/>
                  </a:schemeClr>
                </a:gs>
                <a:gs pos="100000">
                  <a:schemeClr val="accent2">
                    <a:lumMod val="20000"/>
                    <a:lumOff val="8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27000">
                    <a:schemeClr val="accent6">
                      <a:lumMod val="75000"/>
                    </a:schemeClr>
                  </a:gs>
                  <a:gs pos="77000">
                    <a:schemeClr val="accent6">
                      <a:lumMod val="60000"/>
                      <a:lumOff val="40000"/>
                    </a:schemeClr>
                  </a:gs>
                  <a:gs pos="88000">
                    <a:schemeClr val="accent6">
                      <a:lumMod val="40000"/>
                      <a:lumOff val="60000"/>
                    </a:schemeClr>
                  </a:gs>
                  <a:gs pos="100000">
                    <a:schemeClr val="accent2">
                      <a:lumMod val="20000"/>
                      <a:lumOff val="8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12-45E3-ABFD-13799B8044A8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27000">
                    <a:schemeClr val="bg2">
                      <a:lumMod val="50000"/>
                    </a:schemeClr>
                  </a:gs>
                  <a:gs pos="77000">
                    <a:schemeClr val="bg2">
                      <a:lumMod val="65000"/>
                    </a:schemeClr>
                  </a:gs>
                  <a:gs pos="88000">
                    <a:schemeClr val="bg2">
                      <a:lumMod val="75000"/>
                    </a:schemeClr>
                  </a:gs>
                  <a:gs pos="100000">
                    <a:schemeClr val="bg2">
                      <a:lumMod val="85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2-45E3-ABFD-13799B8044A8}"/>
              </c:ext>
            </c:extLst>
          </c:dPt>
          <c:cat>
            <c:strRef>
              <c:f>Pivot!$A$12:$A$14</c:f>
              <c:strCache>
                <c:ptCount val="2"/>
                <c:pt idx="0">
                  <c:v>New Sale</c:v>
                </c:pt>
                <c:pt idx="1">
                  <c:v>Repeat Sale</c:v>
                </c:pt>
              </c:strCache>
            </c:strRef>
          </c:cat>
          <c:val>
            <c:numRef>
              <c:f>Pivot!$B$12:$B$14</c:f>
              <c:numCache>
                <c:formatCode>General</c:formatCode>
                <c:ptCount val="2"/>
                <c:pt idx="0">
                  <c:v>182</c:v>
                </c:pt>
                <c:pt idx="1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2-45E3-ABFD-13799B804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364063"/>
        <c:axId val="946383743"/>
      </c:barChart>
      <c:catAx>
        <c:axId val="94636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6383743"/>
        <c:crosses val="autoZero"/>
        <c:auto val="1"/>
        <c:lblAlgn val="ctr"/>
        <c:lblOffset val="100"/>
        <c:noMultiLvlLbl val="0"/>
      </c:catAx>
      <c:valAx>
        <c:axId val="9463837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636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4</c:name>
    <c:fmtId val="6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Pivot!$C$17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Pivot!$A$18:$B$44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Pivot!$C$18:$C$44</c:f>
              <c:numCache>
                <c:formatCode>General</c:formatCode>
                <c:ptCount val="24"/>
                <c:pt idx="0">
                  <c:v>75431</c:v>
                </c:pt>
                <c:pt idx="1">
                  <c:v>77811</c:v>
                </c:pt>
                <c:pt idx="2">
                  <c:v>83128</c:v>
                </c:pt>
                <c:pt idx="3">
                  <c:v>86156</c:v>
                </c:pt>
                <c:pt idx="4">
                  <c:v>74974</c:v>
                </c:pt>
                <c:pt idx="5">
                  <c:v>79856</c:v>
                </c:pt>
                <c:pt idx="6">
                  <c:v>129309</c:v>
                </c:pt>
                <c:pt idx="7">
                  <c:v>130458</c:v>
                </c:pt>
                <c:pt idx="8">
                  <c:v>137643</c:v>
                </c:pt>
                <c:pt idx="9">
                  <c:v>123722</c:v>
                </c:pt>
                <c:pt idx="10">
                  <c:v>128128</c:v>
                </c:pt>
                <c:pt idx="11">
                  <c:v>132713</c:v>
                </c:pt>
                <c:pt idx="12">
                  <c:v>104397</c:v>
                </c:pt>
                <c:pt idx="13">
                  <c:v>97872</c:v>
                </c:pt>
                <c:pt idx="14">
                  <c:v>100676</c:v>
                </c:pt>
                <c:pt idx="15">
                  <c:v>103919</c:v>
                </c:pt>
                <c:pt idx="16">
                  <c:v>96646</c:v>
                </c:pt>
                <c:pt idx="17">
                  <c:v>109598</c:v>
                </c:pt>
                <c:pt idx="18">
                  <c:v>205529</c:v>
                </c:pt>
                <c:pt idx="19">
                  <c:v>200458</c:v>
                </c:pt>
                <c:pt idx="20">
                  <c:v>187977</c:v>
                </c:pt>
                <c:pt idx="21">
                  <c:v>204076</c:v>
                </c:pt>
                <c:pt idx="22">
                  <c:v>184503</c:v>
                </c:pt>
                <c:pt idx="23">
                  <c:v>199224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0-4F56-B5D7-74D92C243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223183"/>
        <c:axId val="882223663"/>
      </c:lineChart>
      <c:catAx>
        <c:axId val="882223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223663"/>
        <c:crosses val="autoZero"/>
        <c:auto val="1"/>
        <c:lblAlgn val="ctr"/>
        <c:lblOffset val="100"/>
        <c:noMultiLvlLbl val="0"/>
      </c:catAx>
      <c:valAx>
        <c:axId val="88222366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222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582460</xdr:colOff>
      <xdr:row>0</xdr:row>
      <xdr:rowOff>177452</xdr:rowOff>
    </xdr:from>
    <xdr:to>
      <xdr:col>28</xdr:col>
      <xdr:colOff>10438</xdr:colOff>
      <xdr:row>37</xdr:row>
      <xdr:rowOff>104384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A739B3-9360-12AC-89D6-1C4E2B94DC83}"/>
            </a:ext>
          </a:extLst>
        </xdr:cNvPr>
        <xdr:cNvSpPr/>
      </xdr:nvSpPr>
      <xdr:spPr>
        <a:xfrm>
          <a:off x="582460" y="177452"/>
          <a:ext cx="16943540" cy="7108521"/>
        </a:xfrm>
        <a:prstGeom prst="rect">
          <a:avLst/>
        </a:prstGeom>
        <a:gradFill>
          <a:gsLst>
            <a:gs pos="11000">
              <a:schemeClr val="accent1">
                <a:lumMod val="20000"/>
                <a:lumOff val="80000"/>
              </a:schemeClr>
            </a:gs>
            <a:gs pos="23000">
              <a:schemeClr val="accent1">
                <a:lumMod val="40000"/>
                <a:lumOff val="60000"/>
              </a:schemeClr>
            </a:gs>
            <a:gs pos="43000">
              <a:schemeClr val="accent1">
                <a:lumMod val="60000"/>
                <a:lumOff val="40000"/>
              </a:schemeClr>
            </a:gs>
            <a:gs pos="76000">
              <a:schemeClr val="accent1">
                <a:lumMod val="7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154382</xdr:colOff>
      <xdr:row>8</xdr:row>
      <xdr:rowOff>114927</xdr:rowOff>
    </xdr:from>
    <xdr:to>
      <xdr:col>16</xdr:col>
      <xdr:colOff>496865</xdr:colOff>
      <xdr:row>22</xdr:row>
      <xdr:rowOff>58455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0062310-A90D-4CE9-BE11-B221157638BE}"/>
            </a:ext>
          </a:extLst>
        </xdr:cNvPr>
        <xdr:cNvSpPr/>
      </xdr:nvSpPr>
      <xdr:spPr>
        <a:xfrm>
          <a:off x="7377724" y="1795502"/>
          <a:ext cx="3369607" cy="2573994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354487</xdr:colOff>
      <xdr:row>4</xdr:row>
      <xdr:rowOff>177451</xdr:rowOff>
    </xdr:from>
    <xdr:to>
      <xdr:col>8</xdr:col>
      <xdr:colOff>254789</xdr:colOff>
      <xdr:row>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89B7BA-46CD-BEDE-0252-8E30DAA0EF45}"/>
            </a:ext>
          </a:extLst>
        </xdr:cNvPr>
        <xdr:cNvSpPr/>
      </xdr:nvSpPr>
      <xdr:spPr>
        <a:xfrm>
          <a:off x="3339857" y="929013"/>
          <a:ext cx="2322000" cy="751562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224321</xdr:colOff>
      <xdr:row>4</xdr:row>
      <xdr:rowOff>177452</xdr:rowOff>
    </xdr:from>
    <xdr:to>
      <xdr:col>4</xdr:col>
      <xdr:colOff>167014</xdr:colOff>
      <xdr:row>8</xdr:row>
      <xdr:rowOff>10438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CCFA7F-07FE-41B9-8EC3-6AD2A5C1B9D8}"/>
            </a:ext>
          </a:extLst>
        </xdr:cNvPr>
        <xdr:cNvSpPr/>
      </xdr:nvSpPr>
      <xdr:spPr>
        <a:xfrm>
          <a:off x="829746" y="929014"/>
          <a:ext cx="2322638" cy="761999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260957</xdr:colOff>
      <xdr:row>24</xdr:row>
      <xdr:rowOff>142797</xdr:rowOff>
    </xdr:from>
    <xdr:to>
      <xdr:col>7</xdr:col>
      <xdr:colOff>62629</xdr:colOff>
      <xdr:row>36</xdr:row>
      <xdr:rowOff>62630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F1DF4A6-BAC2-42C0-8011-2AD6E25A283D}"/>
            </a:ext>
          </a:extLst>
        </xdr:cNvPr>
        <xdr:cNvSpPr/>
      </xdr:nvSpPr>
      <xdr:spPr>
        <a:xfrm>
          <a:off x="866382" y="4829619"/>
          <a:ext cx="3997891" cy="2226710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177034</xdr:colOff>
      <xdr:row>8</xdr:row>
      <xdr:rowOff>125261</xdr:rowOff>
    </xdr:from>
    <xdr:to>
      <xdr:col>10</xdr:col>
      <xdr:colOff>480164</xdr:colOff>
      <xdr:row>22</xdr:row>
      <xdr:rowOff>20877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C1F318-2991-4C11-9D2E-41F260DF4004}"/>
            </a:ext>
          </a:extLst>
        </xdr:cNvPr>
        <xdr:cNvSpPr/>
      </xdr:nvSpPr>
      <xdr:spPr>
        <a:xfrm>
          <a:off x="782459" y="1805836"/>
          <a:ext cx="6315623" cy="2526082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23</xdr:col>
      <xdr:colOff>323590</xdr:colOff>
      <xdr:row>6</xdr:row>
      <xdr:rowOff>219206</xdr:rowOff>
    </xdr:from>
    <xdr:to>
      <xdr:col>27</xdr:col>
      <xdr:colOff>260959</xdr:colOff>
      <xdr:row>36</xdr:row>
      <xdr:rowOff>62630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468E2C2-A1B2-4114-BD90-56E3BBB8943F}"/>
            </a:ext>
          </a:extLst>
        </xdr:cNvPr>
        <xdr:cNvSpPr/>
      </xdr:nvSpPr>
      <xdr:spPr>
        <a:xfrm>
          <a:off x="14812028" y="1346548"/>
          <a:ext cx="2359068" cy="5709781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605423</xdr:colOff>
      <xdr:row>25</xdr:row>
      <xdr:rowOff>0</xdr:rowOff>
    </xdr:from>
    <xdr:to>
      <xdr:col>13</xdr:col>
      <xdr:colOff>375780</xdr:colOff>
      <xdr:row>36</xdr:row>
      <xdr:rowOff>104383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105D272B-BA78-47F3-AA61-E0A9CFF02911}"/>
            </a:ext>
          </a:extLst>
        </xdr:cNvPr>
        <xdr:cNvSpPr/>
      </xdr:nvSpPr>
      <xdr:spPr>
        <a:xfrm>
          <a:off x="5407067" y="4874712"/>
          <a:ext cx="3402905" cy="2223370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250523</xdr:colOff>
      <xdr:row>25</xdr:row>
      <xdr:rowOff>20878</xdr:rowOff>
    </xdr:from>
    <xdr:to>
      <xdr:col>23</xdr:col>
      <xdr:colOff>20877</xdr:colOff>
      <xdr:row>36</xdr:row>
      <xdr:rowOff>52193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A1DD795-3A26-4F12-B428-510CA7CAAC4D}"/>
            </a:ext>
          </a:extLst>
        </xdr:cNvPr>
        <xdr:cNvSpPr/>
      </xdr:nvSpPr>
      <xdr:spPr>
        <a:xfrm>
          <a:off x="9290139" y="4895590"/>
          <a:ext cx="5219176" cy="2150302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138725</xdr:colOff>
      <xdr:row>4</xdr:row>
      <xdr:rowOff>132881</xdr:rowOff>
    </xdr:from>
    <xdr:to>
      <xdr:col>23</xdr:col>
      <xdr:colOff>62630</xdr:colOff>
      <xdr:row>7</xdr:row>
      <xdr:rowOff>156575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35AE5307-67DB-F17A-449E-170C8C9A15C0}"/>
            </a:ext>
          </a:extLst>
        </xdr:cNvPr>
        <xdr:cNvSpPr/>
      </xdr:nvSpPr>
      <xdr:spPr>
        <a:xfrm>
          <a:off x="10994615" y="884443"/>
          <a:ext cx="3556453" cy="764817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283818</xdr:colOff>
      <xdr:row>8</xdr:row>
      <xdr:rowOff>98226</xdr:rowOff>
    </xdr:from>
    <xdr:to>
      <xdr:col>23</xdr:col>
      <xdr:colOff>20877</xdr:colOff>
      <xdr:row>22</xdr:row>
      <xdr:rowOff>41754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27364B1D-2B11-8B75-66EE-CCB48D45F7E7}"/>
            </a:ext>
          </a:extLst>
        </xdr:cNvPr>
        <xdr:cNvSpPr/>
      </xdr:nvSpPr>
      <xdr:spPr>
        <a:xfrm>
          <a:off x="11139708" y="1778801"/>
          <a:ext cx="3369607" cy="2573994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417534</xdr:colOff>
      <xdr:row>10</xdr:row>
      <xdr:rowOff>93946</xdr:rowOff>
    </xdr:from>
    <xdr:to>
      <xdr:col>23</xdr:col>
      <xdr:colOff>521917</xdr:colOff>
      <xdr:row>21</xdr:row>
      <xdr:rowOff>104385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46F31208-0228-415A-9691-C1EF56C09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451392</xdr:colOff>
      <xdr:row>10</xdr:row>
      <xdr:rowOff>53465</xdr:rowOff>
    </xdr:from>
    <xdr:to>
      <xdr:col>17</xdr:col>
      <xdr:colOff>104383</xdr:colOff>
      <xdr:row>22</xdr:row>
      <xdr:rowOff>73070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B794AD27-4832-4BF5-B7DF-DD0B4DE2D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296854</xdr:colOff>
      <xdr:row>8</xdr:row>
      <xdr:rowOff>180270</xdr:rowOff>
    </xdr:from>
    <xdr:ext cx="2184316" cy="338554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1C70F427-618A-51F0-CA5C-D2397BDABADB}"/>
            </a:ext>
          </a:extLst>
        </xdr:cNvPr>
        <xdr:cNvSpPr txBox="1"/>
      </xdr:nvSpPr>
      <xdr:spPr>
        <a:xfrm>
          <a:off x="7520196" y="1860845"/>
          <a:ext cx="2184316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CUSTOMER SOURCE</a:t>
          </a:r>
        </a:p>
      </xdr:txBody>
    </xdr:sp>
    <xdr:clientData/>
  </xdr:oneCellAnchor>
  <xdr:oneCellAnchor>
    <xdr:from>
      <xdr:col>17</xdr:col>
      <xdr:colOff>365344</xdr:colOff>
      <xdr:row>9</xdr:row>
      <xdr:rowOff>10438</xdr:rowOff>
    </xdr:from>
    <xdr:ext cx="1586630" cy="323589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3BDC78D6-8F1B-3BF5-4128-3DAD0CCB6954}"/>
            </a:ext>
          </a:extLst>
        </xdr:cNvPr>
        <xdr:cNvSpPr txBox="1"/>
      </xdr:nvSpPr>
      <xdr:spPr>
        <a:xfrm>
          <a:off x="11221234" y="1878904"/>
          <a:ext cx="1586630" cy="323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SALES BY CITY</a:t>
          </a: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1</xdr:col>
      <xdr:colOff>292275</xdr:colOff>
      <xdr:row>25</xdr:row>
      <xdr:rowOff>83507</xdr:rowOff>
    </xdr:from>
    <xdr:to>
      <xdr:col>7</xdr:col>
      <xdr:colOff>1</xdr:colOff>
      <xdr:row>36</xdr:row>
      <xdr:rowOff>52191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6C435784-6C37-4D55-B88B-DBFB5F7D8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386218</xdr:colOff>
      <xdr:row>22</xdr:row>
      <xdr:rowOff>146137</xdr:rowOff>
    </xdr:from>
    <xdr:ext cx="2536522" cy="338554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561020D2-FA47-4C4A-8729-8CCD6ECF0F2D}"/>
            </a:ext>
          </a:extLst>
        </xdr:cNvPr>
        <xdr:cNvSpPr txBox="1"/>
      </xdr:nvSpPr>
      <xdr:spPr>
        <a:xfrm>
          <a:off x="1597067" y="4457178"/>
          <a:ext cx="2536522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SALES BY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SERVICE TYPE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7</xdr:col>
      <xdr:colOff>313150</xdr:colOff>
      <xdr:row>25</xdr:row>
      <xdr:rowOff>52191</xdr:rowOff>
    </xdr:from>
    <xdr:to>
      <xdr:col>13</xdr:col>
      <xdr:colOff>584548</xdr:colOff>
      <xdr:row>36</xdr:row>
      <xdr:rowOff>93944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F932859-7A3D-4BD5-B338-298E184EB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8</xdr:col>
      <xdr:colOff>553232</xdr:colOff>
      <xdr:row>22</xdr:row>
      <xdr:rowOff>135697</xdr:rowOff>
    </xdr:from>
    <xdr:ext cx="2462534" cy="338554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18888F1-05F8-DA86-21A3-8B46763A0446}"/>
            </a:ext>
          </a:extLst>
        </xdr:cNvPr>
        <xdr:cNvSpPr txBox="1"/>
      </xdr:nvSpPr>
      <xdr:spPr>
        <a:xfrm>
          <a:off x="5960300" y="4446738"/>
          <a:ext cx="2462534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DEPARTMENT MARGIN</a:t>
          </a:r>
        </a:p>
      </xdr:txBody>
    </xdr:sp>
    <xdr:clientData/>
  </xdr:oneCellAnchor>
  <xdr:twoCellAnchor>
    <xdr:from>
      <xdr:col>14</xdr:col>
      <xdr:colOff>208769</xdr:colOff>
      <xdr:row>25</xdr:row>
      <xdr:rowOff>104385</xdr:rowOff>
    </xdr:from>
    <xdr:to>
      <xdr:col>22</xdr:col>
      <xdr:colOff>386219</xdr:colOff>
      <xdr:row>35</xdr:row>
      <xdr:rowOff>135700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C8D71DB6-323F-46B6-851D-4D4702D83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16</xdr:col>
      <xdr:colOff>553233</xdr:colOff>
      <xdr:row>22</xdr:row>
      <xdr:rowOff>177452</xdr:rowOff>
    </xdr:from>
    <xdr:ext cx="2321148" cy="338554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96F45C24-82C1-62F7-415E-8AFED7DF1FF3}"/>
            </a:ext>
          </a:extLst>
        </xdr:cNvPr>
        <xdr:cNvSpPr txBox="1"/>
      </xdr:nvSpPr>
      <xdr:spPr>
        <a:xfrm>
          <a:off x="10803699" y="4488493"/>
          <a:ext cx="2321148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NEW VS REPEAT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23</xdr:col>
      <xdr:colOff>240082</xdr:colOff>
      <xdr:row>6</xdr:row>
      <xdr:rowOff>354905</xdr:rowOff>
    </xdr:from>
    <xdr:to>
      <xdr:col>27</xdr:col>
      <xdr:colOff>354904</xdr:colOff>
      <xdr:row>36</xdr:row>
      <xdr:rowOff>125259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C9F631C1-FC72-41BE-B0E4-29602881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23</xdr:col>
      <xdr:colOff>386219</xdr:colOff>
      <xdr:row>4</xdr:row>
      <xdr:rowOff>114821</xdr:rowOff>
    </xdr:from>
    <xdr:ext cx="2150302" cy="334028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131AA7F0-310B-D9EB-D875-B628113C5259}"/>
            </a:ext>
          </a:extLst>
        </xdr:cNvPr>
        <xdr:cNvSpPr txBox="1"/>
      </xdr:nvSpPr>
      <xdr:spPr>
        <a:xfrm>
          <a:off x="14874657" y="866383"/>
          <a:ext cx="2150302" cy="334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TOP 10 CUSTOMERS</a:t>
          </a: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8</xdr:col>
      <xdr:colOff>433819</xdr:colOff>
      <xdr:row>4</xdr:row>
      <xdr:rowOff>177452</xdr:rowOff>
    </xdr:from>
    <xdr:to>
      <xdr:col>12</xdr:col>
      <xdr:colOff>334120</xdr:colOff>
      <xdr:row>7</xdr:row>
      <xdr:rowOff>180269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0B45520-2D95-47BC-9676-E243B8C0B45A}"/>
            </a:ext>
          </a:extLst>
        </xdr:cNvPr>
        <xdr:cNvSpPr/>
      </xdr:nvSpPr>
      <xdr:spPr>
        <a:xfrm>
          <a:off x="5840887" y="929014"/>
          <a:ext cx="2322000" cy="743940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12108</xdr:colOff>
      <xdr:row>4</xdr:row>
      <xdr:rowOff>169727</xdr:rowOff>
    </xdr:from>
    <xdr:to>
      <xdr:col>16</xdr:col>
      <xdr:colOff>517834</xdr:colOff>
      <xdr:row>7</xdr:row>
      <xdr:rowOff>181004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5B73F4A-499C-4E17-8909-65BAF78DFE50}"/>
            </a:ext>
          </a:extLst>
        </xdr:cNvPr>
        <xdr:cNvSpPr/>
      </xdr:nvSpPr>
      <xdr:spPr>
        <a:xfrm>
          <a:off x="8446300" y="921289"/>
          <a:ext cx="2322000" cy="752400"/>
        </a:xfrm>
        <a:prstGeom prst="roundRect">
          <a:avLst/>
        </a:prstGeom>
        <a:gradFill>
          <a:gsLst>
            <a:gs pos="37000">
              <a:schemeClr val="accent2">
                <a:lumMod val="75000"/>
              </a:schemeClr>
            </a:gs>
            <a:gs pos="77000">
              <a:schemeClr val="accent2">
                <a:lumMod val="60000"/>
                <a:lumOff val="40000"/>
              </a:schemeClr>
            </a:gs>
            <a:gs pos="88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173277</xdr:colOff>
      <xdr:row>4</xdr:row>
      <xdr:rowOff>183715</xdr:rowOff>
    </xdr:from>
    <xdr:ext cx="1924832" cy="30688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8EBBCB-DF72-41E6-ABDC-F61B7B701E9C}"/>
            </a:ext>
          </a:extLst>
        </xdr:cNvPr>
        <xdr:cNvSpPr txBox="1"/>
      </xdr:nvSpPr>
      <xdr:spPr>
        <a:xfrm>
          <a:off x="8607469" y="935277"/>
          <a:ext cx="1924832" cy="3068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AVERAGE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MARGIN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13</xdr:col>
      <xdr:colOff>501040</xdr:colOff>
      <xdr:row>6</xdr:row>
      <xdr:rowOff>73069</xdr:rowOff>
    </xdr:from>
    <xdr:ext cx="1218026" cy="461665"/>
    <xdr:sp macro="" textlink="Pivot!A9">
      <xdr:nvSpPr>
        <xdr:cNvPr id="18" name="TextBox 17">
          <a:extLst>
            <a:ext uri="{FF2B5EF4-FFF2-40B4-BE49-F238E27FC236}">
              <a16:creationId xmlns:a16="http://schemas.microsoft.com/office/drawing/2014/main" id="{871BEF64-BD61-DDEE-A729-FB4BE7349C9F}"/>
            </a:ext>
          </a:extLst>
        </xdr:cNvPr>
        <xdr:cNvSpPr txBox="1"/>
      </xdr:nvSpPr>
      <xdr:spPr>
        <a:xfrm>
          <a:off x="8935232" y="1200411"/>
          <a:ext cx="1218026" cy="4616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4D4DE0B-993F-4CF7-8F17-F8DC28143820}" type="TxLink">
            <a:rPr lang="en-US" sz="2400" b="1" i="0" u="none" strike="noStrike">
              <a:solidFill>
                <a:schemeClr val="tx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30.50%</a:t>
          </a:fld>
          <a:endParaRPr lang="en-IN" sz="2400" b="1">
            <a:solidFill>
              <a:schemeClr val="tx1"/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1</xdr:col>
      <xdr:colOff>0</xdr:colOff>
      <xdr:row>1</xdr:row>
      <xdr:rowOff>1</xdr:rowOff>
    </xdr:from>
    <xdr:to>
      <xdr:col>27</xdr:col>
      <xdr:colOff>594986</xdr:colOff>
      <xdr:row>4</xdr:row>
      <xdr:rowOff>20877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50A2DE-9B00-89CC-9492-F9FFC0CA2DA6}"/>
            </a:ext>
          </a:extLst>
        </xdr:cNvPr>
        <xdr:cNvSpPr/>
      </xdr:nvSpPr>
      <xdr:spPr>
        <a:xfrm>
          <a:off x="605425" y="187891"/>
          <a:ext cx="16899698" cy="58454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9</xdr:col>
      <xdr:colOff>75158</xdr:colOff>
      <xdr:row>5</xdr:row>
      <xdr:rowOff>22964</xdr:rowOff>
    </xdr:from>
    <xdr:ext cx="1924832" cy="30688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3A59CAC-6D37-4A26-8B97-FC571EF7A948}"/>
            </a:ext>
          </a:extLst>
        </xdr:cNvPr>
        <xdr:cNvSpPr txBox="1"/>
      </xdr:nvSpPr>
      <xdr:spPr>
        <a:xfrm>
          <a:off x="6087651" y="962416"/>
          <a:ext cx="1924832" cy="3068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TOTAL MARGIN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2</xdr:col>
      <xdr:colOff>60545</xdr:colOff>
      <xdr:row>5</xdr:row>
      <xdr:rowOff>18789</xdr:rowOff>
    </xdr:from>
    <xdr:ext cx="1924832" cy="30688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33B233D-B2A9-45F6-A0DB-77D5782C5261}"/>
            </a:ext>
          </a:extLst>
        </xdr:cNvPr>
        <xdr:cNvSpPr txBox="1"/>
      </xdr:nvSpPr>
      <xdr:spPr>
        <a:xfrm>
          <a:off x="1271394" y="958241"/>
          <a:ext cx="1924832" cy="3068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TOTAL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SALES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4</xdr:col>
      <xdr:colOff>540707</xdr:colOff>
      <xdr:row>5</xdr:row>
      <xdr:rowOff>8350</xdr:rowOff>
    </xdr:from>
    <xdr:ext cx="1924832" cy="30688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6ECC6CB-0FE7-448F-B7C8-4A89475D95B7}"/>
            </a:ext>
          </a:extLst>
        </xdr:cNvPr>
        <xdr:cNvSpPr txBox="1"/>
      </xdr:nvSpPr>
      <xdr:spPr>
        <a:xfrm>
          <a:off x="3526077" y="947802"/>
          <a:ext cx="1924832" cy="3068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AVERAGE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SALES</a:t>
          </a: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  <a:p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5</xdr:col>
      <xdr:colOff>438411</xdr:colOff>
      <xdr:row>6</xdr:row>
      <xdr:rowOff>27140</xdr:rowOff>
    </xdr:from>
    <xdr:ext cx="1398739" cy="543162"/>
    <xdr:sp macro="" textlink="Sheet1!A2">
      <xdr:nvSpPr>
        <xdr:cNvPr id="25" name="TextBox 24">
          <a:extLst>
            <a:ext uri="{FF2B5EF4-FFF2-40B4-BE49-F238E27FC236}">
              <a16:creationId xmlns:a16="http://schemas.microsoft.com/office/drawing/2014/main" id="{FCEE95BC-FCF5-46FD-A272-A0FB9FA1F8BB}"/>
            </a:ext>
          </a:extLst>
        </xdr:cNvPr>
        <xdr:cNvSpPr txBox="1"/>
      </xdr:nvSpPr>
      <xdr:spPr>
        <a:xfrm>
          <a:off x="4029206" y="1154482"/>
          <a:ext cx="1398739" cy="543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82BD704-4C71-4998-9D5F-9954BC71E3D7}" type="TxLink">
            <a:rPr lang="en-US" sz="2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6.4k</a:t>
          </a:fld>
          <a:endParaRPr lang="en-IN" sz="2800" b="1">
            <a:solidFill>
              <a:schemeClr val="tx1"/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9</xdr:col>
      <xdr:colOff>382043</xdr:colOff>
      <xdr:row>6</xdr:row>
      <xdr:rowOff>33402</xdr:rowOff>
    </xdr:from>
    <xdr:ext cx="1189973" cy="543162"/>
    <xdr:sp macro="" textlink="Pivot!A6">
      <xdr:nvSpPr>
        <xdr:cNvPr id="26" name="TextBox 25">
          <a:extLst>
            <a:ext uri="{FF2B5EF4-FFF2-40B4-BE49-F238E27FC236}">
              <a16:creationId xmlns:a16="http://schemas.microsoft.com/office/drawing/2014/main" id="{EBA74511-940A-4C37-A99A-75B1061730D6}"/>
            </a:ext>
          </a:extLst>
        </xdr:cNvPr>
        <xdr:cNvSpPr txBox="1"/>
      </xdr:nvSpPr>
      <xdr:spPr>
        <a:xfrm>
          <a:off x="6394536" y="1160744"/>
          <a:ext cx="1189973" cy="543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11EA032-2B6F-49CD-BE51-D618E439F50A}" type="TxLink">
            <a:rPr lang="en-US" sz="2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931.6k</a:t>
          </a:fld>
          <a:endParaRPr lang="en-IN" sz="2800" b="1">
            <a:solidFill>
              <a:schemeClr val="tx1"/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2</xdr:col>
      <xdr:colOff>79331</xdr:colOff>
      <xdr:row>6</xdr:row>
      <xdr:rowOff>64718</xdr:rowOff>
    </xdr:from>
    <xdr:ext cx="1398739" cy="543162"/>
    <xdr:sp macro="" textlink="Pivot!A2">
      <xdr:nvSpPr>
        <xdr:cNvPr id="27" name="TextBox 26">
          <a:extLst>
            <a:ext uri="{FF2B5EF4-FFF2-40B4-BE49-F238E27FC236}">
              <a16:creationId xmlns:a16="http://schemas.microsoft.com/office/drawing/2014/main" id="{7092323D-6212-4289-87A6-CBCC71B5D2C6}"/>
            </a:ext>
          </a:extLst>
        </xdr:cNvPr>
        <xdr:cNvSpPr txBox="1"/>
      </xdr:nvSpPr>
      <xdr:spPr>
        <a:xfrm>
          <a:off x="1290180" y="1192060"/>
          <a:ext cx="1398739" cy="5431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C26E7E0-11C3-44CF-99B7-AED1EA68042A}" type="TxLink">
            <a:rPr lang="en-US" sz="28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3054.2k</a:t>
          </a:fld>
          <a:endParaRPr lang="en-IN" sz="2800" b="1">
            <a:solidFill>
              <a:schemeClr val="tx1"/>
            </a:solidFill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17</xdr:col>
      <xdr:colOff>73070</xdr:colOff>
      <xdr:row>5</xdr:row>
      <xdr:rowOff>20877</xdr:rowOff>
    </xdr:from>
    <xdr:to>
      <xdr:col>23</xdr:col>
      <xdr:colOff>187892</xdr:colOff>
      <xdr:row>7</xdr:row>
      <xdr:rowOff>93945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E7BD320-DCD1-4852-A1B2-EA6CEFFFE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563254</xdr:colOff>
      <xdr:row>4</xdr:row>
      <xdr:rowOff>114823</xdr:rowOff>
    </xdr:from>
    <xdr:ext cx="1409595" cy="338554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8742B3B7-3FEA-4350-A1BA-47CDB1407287}"/>
            </a:ext>
          </a:extLst>
        </xdr:cNvPr>
        <xdr:cNvSpPr txBox="1"/>
      </xdr:nvSpPr>
      <xdr:spPr>
        <a:xfrm>
          <a:off x="13235418" y="866385"/>
          <a:ext cx="1409595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OLD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SALES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oneCellAnchor>
    <xdr:from>
      <xdr:col>17</xdr:col>
      <xdr:colOff>162421</xdr:colOff>
      <xdr:row>4</xdr:row>
      <xdr:rowOff>121085</xdr:rowOff>
    </xdr:from>
    <xdr:ext cx="1318374" cy="338554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A031E1AD-EE33-408B-9316-D47740D43AB4}"/>
            </a:ext>
          </a:extLst>
        </xdr:cNvPr>
        <xdr:cNvSpPr txBox="1"/>
      </xdr:nvSpPr>
      <xdr:spPr>
        <a:xfrm>
          <a:off x="11018311" y="872647"/>
          <a:ext cx="1318374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NEW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SALES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0</xdr:col>
      <xdr:colOff>574110</xdr:colOff>
      <xdr:row>0</xdr:row>
      <xdr:rowOff>93946</xdr:rowOff>
    </xdr:from>
    <xdr:to>
      <xdr:col>27</xdr:col>
      <xdr:colOff>187890</xdr:colOff>
      <xdr:row>3</xdr:row>
      <xdr:rowOff>135699</xdr:rowOff>
    </xdr:to>
    <xdr:sp macro="" textlink="">
      <xdr:nvSpPr>
        <xdr:cNvPr id="33" name="Shape 13">
          <a:extLst>
            <a:ext uri="{FF2B5EF4-FFF2-40B4-BE49-F238E27FC236}">
              <a16:creationId xmlns:a16="http://schemas.microsoft.com/office/drawing/2014/main" id="{E9BEE4E3-E520-EF6C-9286-6B8BBE72E064}"/>
            </a:ext>
          </a:extLst>
        </xdr:cNvPr>
        <xdr:cNvSpPr txBox="1"/>
      </xdr:nvSpPr>
      <xdr:spPr>
        <a:xfrm>
          <a:off x="574110" y="93946"/>
          <a:ext cx="16523917" cy="605424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600" b="1" i="0">
              <a:solidFill>
                <a:schemeClr val="lt1"/>
              </a:solidFill>
              <a:latin typeface="Arial Black" panose="020B0A04020102020204" pitchFamily="34" charset="0"/>
              <a:ea typeface="Calibri"/>
              <a:cs typeface="Calibri"/>
              <a:sym typeface="Calibri"/>
            </a:rPr>
            <a:t>AIC Co. | Sales Analytics Dashboard</a:t>
          </a:r>
          <a:endParaRPr sz="3600" b="1" i="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oneCellAnchor>
    <xdr:from>
      <xdr:col>2</xdr:col>
      <xdr:colOff>359596</xdr:colOff>
      <xdr:row>8</xdr:row>
      <xdr:rowOff>167014</xdr:rowOff>
    </xdr:from>
    <xdr:ext cx="1563761" cy="338554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ED41311-D5BF-41F6-AB44-D660AC6BBDD1}"/>
            </a:ext>
          </a:extLst>
        </xdr:cNvPr>
        <xdr:cNvSpPr txBox="1"/>
      </xdr:nvSpPr>
      <xdr:spPr>
        <a:xfrm>
          <a:off x="1570445" y="1847589"/>
          <a:ext cx="1563761" cy="338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IN" sz="1600" b="1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SALES</a:t>
          </a:r>
          <a:r>
            <a:rPr lang="en-IN" sz="1600" b="1" baseline="0"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 TREND</a:t>
          </a:r>
          <a:endParaRPr lang="en-IN" sz="1600" b="1">
            <a:latin typeface="LATO" panose="020F0502020204030203" pitchFamily="34" charset="0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/>
  </xdr:oneCellAnchor>
  <xdr:twoCellAnchor>
    <xdr:from>
      <xdr:col>1</xdr:col>
      <xdr:colOff>177034</xdr:colOff>
      <xdr:row>8</xdr:row>
      <xdr:rowOff>125261</xdr:rowOff>
    </xdr:from>
    <xdr:to>
      <xdr:col>10</xdr:col>
      <xdr:colOff>386219</xdr:colOff>
      <xdr:row>21</xdr:row>
      <xdr:rowOff>60125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646B6ED0-69EF-4A09-B455-FF2E37170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701040</xdr:colOff>
      <xdr:row>52</xdr:row>
      <xdr:rowOff>167640</xdr:rowOff>
    </xdr:from>
    <xdr:to>
      <xdr:col>5</xdr:col>
      <xdr:colOff>403860</xdr:colOff>
      <xdr:row>61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984E5-1EA1-4873-8312-7292FDFEE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1562100</xdr:colOff>
      <xdr:row>46</xdr:row>
      <xdr:rowOff>190500</xdr:rowOff>
    </xdr:from>
    <xdr:to>
      <xdr:col>13</xdr:col>
      <xdr:colOff>388620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CA953A-FC52-8866-C6F9-E81AFE7D10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289560</xdr:colOff>
      <xdr:row>95</xdr:row>
      <xdr:rowOff>190500</xdr:rowOff>
    </xdr:from>
    <xdr:to>
      <xdr:col>6</xdr:col>
      <xdr:colOff>243840</xdr:colOff>
      <xdr:row>103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110A67-3591-855E-9EFD-E3CDDF390B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1531620</xdr:colOff>
      <xdr:row>104</xdr:row>
      <xdr:rowOff>76200</xdr:rowOff>
    </xdr:from>
    <xdr:to>
      <xdr:col>5</xdr:col>
      <xdr:colOff>259080</xdr:colOff>
      <xdr:row>113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BBB794A-2841-8EDE-B835-3FD473839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350520</xdr:colOff>
      <xdr:row>117</xdr:row>
      <xdr:rowOff>99060</xdr:rowOff>
    </xdr:from>
    <xdr:to>
      <xdr:col>12</xdr:col>
      <xdr:colOff>304800</xdr:colOff>
      <xdr:row>124</xdr:row>
      <xdr:rowOff>182880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E161A51-5B84-E428-01DC-7B91B9558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457200</xdr:colOff>
      <xdr:row>59</xdr:row>
      <xdr:rowOff>118110</xdr:rowOff>
    </xdr:from>
    <xdr:to>
      <xdr:col>10</xdr:col>
      <xdr:colOff>243840</xdr:colOff>
      <xdr:row>73</xdr:row>
      <xdr:rowOff>87630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69EE75E-D181-7BDB-2B9C-3A3434E40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243840</xdr:colOff>
      <xdr:row>5</xdr:row>
      <xdr:rowOff>30480</xdr:rowOff>
    </xdr:from>
    <xdr:to>
      <xdr:col>6</xdr:col>
      <xdr:colOff>266700</xdr:colOff>
      <xdr:row>12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91A05BC-DE04-AA00-01AA-49F8B28AB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198120</xdr:colOff>
      <xdr:row>17</xdr:row>
      <xdr:rowOff>22860</xdr:rowOff>
    </xdr:from>
    <xdr:to>
      <xdr:col>8</xdr:col>
      <xdr:colOff>571500</xdr:colOff>
      <xdr:row>29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B84757-9011-519A-52E3-1B814225F6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ha Rawat" refreshedDate="45851.575823148145" createdVersion="8" refreshedVersion="8" minRefreshableVersion="3" recordCount="10" xr:uid="{D7D0D67D-B8E1-42A0-8B78-D3725CF03C53}">
  <cacheSource type="worksheet">
    <worksheetSource ref="A63:B73" sheet="Pivot"/>
  </cacheSource>
  <cacheFields count="2">
    <cacheField name="Row Labels" numFmtId="0">
      <sharedItems count="10">
        <s v="Zephyr Industries"/>
        <s v="Altura Networks"/>
        <s v="Rania Omar"/>
        <s v="Aetherion Systems"/>
        <s v="Stratoscope"/>
        <s v="Fatima Saeed"/>
        <s v="Octavium Digital"/>
        <s v="InfiNova Technologies"/>
        <s v="Synergenix Labs"/>
        <s v="Vantoro Enterprises"/>
      </sharedItems>
    </cacheField>
    <cacheField name="Sum of Sales Amount" numFmtId="165">
      <sharedItems containsSemiMixedTypes="0" containsString="0" containsNumber="1" containsInteger="1" minValue="117139" maxValue="19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sha Rawat" refreshedDate="45872.838370486112" refreshedVersion="8" recordCount="480" xr:uid="{00000000-000A-0000-FFFF-FFFF00000000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5-01-01T00:00:00"/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 count="5">
        <s v="Social Media"/>
        <s v="Ads"/>
        <s v="App Dev"/>
        <s v="Web Dev"/>
        <s v="SEO"/>
      </sharedItems>
    </cacheField>
    <cacheField name="Department" numFmtId="0">
      <sharedItems count="3">
        <s v="Marketing"/>
        <s v="Design"/>
        <s v="Copywriting"/>
      </sharedItems>
    </cacheField>
    <cacheField name="City" numFmtId="0">
      <sharedItems count="5">
        <s v="Al Ain"/>
        <s v="Ajman"/>
        <s v="Dubai"/>
        <s v="Abu Dhabi"/>
        <s v="Sharjah"/>
      </sharedItems>
    </cacheField>
    <cacheField name="Sales Amount" numFmtId="165">
      <sharedItems containsSemiMixedTypes="0" containsString="0" containsNumber="1" containsInteger="1" minValue="2405" maxValue="12273"/>
    </cacheField>
    <cacheField name="Margin _x000a_%" numFmtId="166">
      <sharedItems containsSemiMixedTypes="0" containsString="0" containsNumber="1" minValue="0.25" maxValue="0.4"/>
    </cacheField>
    <cacheField name="Margin Amount" numFmtId="167">
      <sharedItems containsSemiMixedTypes="0" containsString="0" containsNumber="1" minValue="614.25" maxValue="4756.8"/>
    </cacheField>
    <cacheField name="Sale Type" numFmtId="0">
      <sharedItems count="2">
        <s v="Repeat Sale"/>
        <s v="New Sale"/>
      </sharedItems>
    </cacheField>
    <cacheField name="Customer Source" numFmtId="0">
      <sharedItems count="3">
        <s v="Walk in"/>
        <s v="Ads"/>
        <s v="Organic"/>
      </sharedItems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ha Rawat" refreshedDate="45872.876965625001" createdVersion="8" refreshedVersion="8" minRefreshableVersion="3" recordCount="480" xr:uid="{C717459B-3D89-47A5-8932-3FEDEB6B0FC2}">
  <cacheSource type="worksheet">
    <worksheetSource name="Table_1"/>
  </cacheSource>
  <cacheFields count="14">
    <cacheField name="Date" numFmtId="164">
      <sharedItems containsSemiMixedTypes="0" containsNonDate="0" containsDate="1" containsString="0" minDate="2023-01-01T00:00:00" maxDate="2025-01-01T00:00:00"/>
    </cacheField>
    <cacheField name="Month" numFmtId="0">
      <sharedItems/>
    </cacheField>
    <cacheField name="Year" numFmtId="0">
      <sharedItems/>
    </cacheField>
    <cacheField name="Customer Name" numFmtId="0">
      <sharedItems/>
    </cacheField>
    <cacheField name="Customer Type" numFmtId="0">
      <sharedItems/>
    </cacheField>
    <cacheField name="Service" numFmtId="0">
      <sharedItems/>
    </cacheField>
    <cacheField name="Department" numFmtId="0">
      <sharedItems/>
    </cacheField>
    <cacheField name="City" numFmtId="0">
      <sharedItems/>
    </cacheField>
    <cacheField name="Sales Amount" numFmtId="165">
      <sharedItems containsSemiMixedTypes="0" containsString="0" containsNumber="1" containsInteger="1" minValue="2405" maxValue="12273"/>
    </cacheField>
    <cacheField name="Margin _x000a_%" numFmtId="166">
      <sharedItems containsSemiMixedTypes="0" containsString="0" containsNumber="1" minValue="0.25" maxValue="0.4"/>
    </cacheField>
    <cacheField name="Margin Amount" numFmtId="167">
      <sharedItems containsSemiMixedTypes="0" containsString="0" containsNumber="1" minValue="614.25" maxValue="4756.8"/>
    </cacheField>
    <cacheField name="Sale Type" numFmtId="0">
      <sharedItems/>
    </cacheField>
    <cacheField name="Customer Source" numFmtId="0">
      <sharedItems/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17139"/>
  </r>
  <r>
    <x v="1"/>
    <n v="117796"/>
  </r>
  <r>
    <x v="2"/>
    <n v="121631"/>
  </r>
  <r>
    <x v="3"/>
    <n v="125250"/>
  </r>
  <r>
    <x v="4"/>
    <n v="126675"/>
  </r>
  <r>
    <x v="5"/>
    <n v="144481"/>
  </r>
  <r>
    <x v="6"/>
    <n v="153528"/>
  </r>
  <r>
    <x v="7"/>
    <n v="159606"/>
  </r>
  <r>
    <x v="8"/>
    <n v="174699"/>
  </r>
  <r>
    <x v="9"/>
    <n v="19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x v="0"/>
    <x v="0"/>
    <s v="Nexa Core"/>
    <s v="Company"/>
    <x v="0"/>
    <x v="0"/>
    <x v="0"/>
    <n v="3125"/>
    <n v="0.3"/>
    <n v="937.5"/>
    <x v="0"/>
    <x v="0"/>
    <s v="Annual"/>
  </r>
  <r>
    <d v="2023-01-01T00:00:00"/>
    <x v="0"/>
    <x v="0"/>
    <s v="Sami Al Shamsi"/>
    <s v="Individual"/>
    <x v="1"/>
    <x v="0"/>
    <x v="1"/>
    <n v="3635"/>
    <n v="0.25"/>
    <n v="908.75"/>
    <x v="1"/>
    <x v="1"/>
    <s v="Annual"/>
  </r>
  <r>
    <d v="2023-01-01T00:00:00"/>
    <x v="0"/>
    <x v="0"/>
    <s v="Hanan Al Khatri"/>
    <s v="Individual"/>
    <x v="0"/>
    <x v="0"/>
    <x v="2"/>
    <n v="3291"/>
    <n v="0.3"/>
    <n v="987.3"/>
    <x v="0"/>
    <x v="1"/>
    <s v="Bi Annual"/>
  </r>
  <r>
    <d v="2023-01-02T00:00:00"/>
    <x v="0"/>
    <x v="0"/>
    <s v="Tariq Al Zahrani"/>
    <s v="Individual"/>
    <x v="2"/>
    <x v="1"/>
    <x v="3"/>
    <n v="3668"/>
    <n v="0.4"/>
    <n v="1467.2"/>
    <x v="1"/>
    <x v="1"/>
    <s v="Quarterly"/>
  </r>
  <r>
    <d v="2023-01-07T00:00:00"/>
    <x v="0"/>
    <x v="0"/>
    <s v="Layla Al Dhanhani"/>
    <s v="Individual"/>
    <x v="1"/>
    <x v="0"/>
    <x v="3"/>
    <n v="3970"/>
    <n v="0.25"/>
    <n v="992.5"/>
    <x v="0"/>
    <x v="0"/>
    <s v="Quarterly"/>
  </r>
  <r>
    <d v="2023-01-12T00:00:00"/>
    <x v="0"/>
    <x v="0"/>
    <s v="Synergenix Labs"/>
    <s v="Company"/>
    <x v="0"/>
    <x v="0"/>
    <x v="2"/>
    <n v="2739"/>
    <n v="0.3"/>
    <n v="821.69999999999993"/>
    <x v="1"/>
    <x v="1"/>
    <s v="Monthly"/>
  </r>
  <r>
    <d v="2023-01-12T00:00:00"/>
    <x v="0"/>
    <x v="0"/>
    <s v="Omar Ali"/>
    <s v="Individual"/>
    <x v="3"/>
    <x v="1"/>
    <x v="3"/>
    <n v="2420"/>
    <n v="0.35"/>
    <n v="847"/>
    <x v="0"/>
    <x v="0"/>
    <s v="Bi Annual"/>
  </r>
  <r>
    <d v="2023-01-13T00:00:00"/>
    <x v="0"/>
    <x v="0"/>
    <s v="Aetherion Systems"/>
    <s v="Company"/>
    <x v="4"/>
    <x v="2"/>
    <x v="4"/>
    <n v="4802"/>
    <n v="0.25"/>
    <n v="1200.5"/>
    <x v="0"/>
    <x v="0"/>
    <s v="Annual"/>
  </r>
  <r>
    <d v="2023-01-14T00:00:00"/>
    <x v="0"/>
    <x v="0"/>
    <s v="Aetherion Systems"/>
    <s v="Company"/>
    <x v="2"/>
    <x v="1"/>
    <x v="0"/>
    <n v="2620"/>
    <n v="0.4"/>
    <n v="1048"/>
    <x v="1"/>
    <x v="1"/>
    <s v="Bi Annual"/>
  </r>
  <r>
    <d v="2023-01-16T00:00:00"/>
    <x v="0"/>
    <x v="0"/>
    <s v="Basma Nasser"/>
    <s v="Individual"/>
    <x v="3"/>
    <x v="1"/>
    <x v="0"/>
    <n v="5593"/>
    <n v="0.35"/>
    <n v="1957.55"/>
    <x v="0"/>
    <x v="1"/>
    <s v="Quarterly"/>
  </r>
  <r>
    <d v="2023-01-18T00:00:00"/>
    <x v="0"/>
    <x v="0"/>
    <s v="Aetherion Systems"/>
    <s v="Company"/>
    <x v="1"/>
    <x v="0"/>
    <x v="0"/>
    <n v="3237"/>
    <n v="0.25"/>
    <n v="809.25"/>
    <x v="0"/>
    <x v="0"/>
    <s v="Quarterly"/>
  </r>
  <r>
    <d v="2023-01-18T00:00:00"/>
    <x v="0"/>
    <x v="0"/>
    <s v="Fatima Saeed"/>
    <s v="Individual"/>
    <x v="0"/>
    <x v="0"/>
    <x v="0"/>
    <n v="4985"/>
    <n v="0.3"/>
    <n v="1495.5"/>
    <x v="0"/>
    <x v="0"/>
    <s v="Annual"/>
  </r>
  <r>
    <d v="2023-01-19T00:00:00"/>
    <x v="0"/>
    <x v="0"/>
    <s v="Quanta Sphere Tech"/>
    <s v="Company"/>
    <x v="3"/>
    <x v="1"/>
    <x v="2"/>
    <n v="3886"/>
    <n v="0.35"/>
    <n v="1360.1"/>
    <x v="0"/>
    <x v="2"/>
    <s v="Annual"/>
  </r>
  <r>
    <d v="2023-01-19T00:00:00"/>
    <x v="0"/>
    <x v="0"/>
    <s v="Zayed Al Nuaimi"/>
    <s v="Individual"/>
    <x v="4"/>
    <x v="2"/>
    <x v="4"/>
    <n v="2585"/>
    <n v="0.25"/>
    <n v="646.25"/>
    <x v="1"/>
    <x v="1"/>
    <s v="Bi Annual"/>
  </r>
  <r>
    <d v="2023-01-21T00:00:00"/>
    <x v="0"/>
    <x v="0"/>
    <s v="Stratoscope"/>
    <s v="Company"/>
    <x v="1"/>
    <x v="0"/>
    <x v="0"/>
    <n v="4826"/>
    <n v="0.25"/>
    <n v="1206.5"/>
    <x v="1"/>
    <x v="1"/>
    <s v="Annual"/>
  </r>
  <r>
    <d v="2023-01-22T00:00:00"/>
    <x v="0"/>
    <x v="0"/>
    <s v="Luminex Global"/>
    <s v="Company"/>
    <x v="2"/>
    <x v="1"/>
    <x v="1"/>
    <n v="2952"/>
    <n v="0.4"/>
    <n v="1180.8"/>
    <x v="1"/>
    <x v="2"/>
    <s v="Bi Annual"/>
  </r>
  <r>
    <d v="2023-01-27T00:00:00"/>
    <x v="0"/>
    <x v="0"/>
    <s v="Altura Networks"/>
    <s v="Company"/>
    <x v="2"/>
    <x v="1"/>
    <x v="3"/>
    <n v="3704"/>
    <n v="0.4"/>
    <n v="1481.6000000000001"/>
    <x v="0"/>
    <x v="1"/>
    <s v="Bi Annual"/>
  </r>
  <r>
    <d v="2023-01-28T00:00:00"/>
    <x v="0"/>
    <x v="0"/>
    <s v="Sarah Ahmed"/>
    <s v="Individual"/>
    <x v="0"/>
    <x v="0"/>
    <x v="2"/>
    <n v="3999"/>
    <n v="0.3"/>
    <n v="1199.7"/>
    <x v="0"/>
    <x v="1"/>
    <s v="Quarterly"/>
  </r>
  <r>
    <d v="2023-01-29T00:00:00"/>
    <x v="0"/>
    <x v="0"/>
    <s v="Fatima Saeed"/>
    <s v="Individual"/>
    <x v="3"/>
    <x v="1"/>
    <x v="2"/>
    <n v="3947"/>
    <n v="0.35"/>
    <n v="1381.4499999999998"/>
    <x v="0"/>
    <x v="1"/>
    <s v="Bi Annual"/>
  </r>
  <r>
    <d v="2023-01-31T00:00:00"/>
    <x v="0"/>
    <x v="0"/>
    <s v="Vantoro Enterprises"/>
    <s v="Company"/>
    <x v="3"/>
    <x v="1"/>
    <x v="3"/>
    <n v="5447"/>
    <n v="0.35"/>
    <n v="1906.4499999999998"/>
    <x v="0"/>
    <x v="1"/>
    <s v="Annual"/>
  </r>
  <r>
    <d v="2023-02-01T00:00:00"/>
    <x v="1"/>
    <x v="0"/>
    <s v="Sarah Ahmed"/>
    <s v="Individual"/>
    <x v="1"/>
    <x v="0"/>
    <x v="2"/>
    <n v="2811"/>
    <n v="0.25"/>
    <n v="702.75"/>
    <x v="1"/>
    <x v="2"/>
    <s v="Annual"/>
  </r>
  <r>
    <d v="2023-02-03T00:00:00"/>
    <x v="1"/>
    <x v="0"/>
    <s v="Zephyr Industries"/>
    <s v="Company"/>
    <x v="3"/>
    <x v="1"/>
    <x v="2"/>
    <n v="3190"/>
    <n v="0.35"/>
    <n v="1116.5"/>
    <x v="0"/>
    <x v="0"/>
    <s v="Quarterly"/>
  </r>
  <r>
    <d v="2023-02-05T00:00:00"/>
    <x v="1"/>
    <x v="0"/>
    <s v="Aetherion Systems"/>
    <s v="Company"/>
    <x v="3"/>
    <x v="1"/>
    <x v="0"/>
    <n v="4578"/>
    <n v="0.35"/>
    <n v="1602.3"/>
    <x v="0"/>
    <x v="2"/>
    <s v="Monthly"/>
  </r>
  <r>
    <d v="2023-02-05T00:00:00"/>
    <x v="1"/>
    <x v="0"/>
    <s v="Noura Rashid"/>
    <s v="Individual"/>
    <x v="3"/>
    <x v="1"/>
    <x v="4"/>
    <n v="3168"/>
    <n v="0.35"/>
    <n v="1108.8"/>
    <x v="0"/>
    <x v="2"/>
    <s v="Annual"/>
  </r>
  <r>
    <d v="2023-02-09T00:00:00"/>
    <x v="1"/>
    <x v="0"/>
    <s v="InfiNova Technologies"/>
    <s v="Company"/>
    <x v="4"/>
    <x v="2"/>
    <x v="2"/>
    <n v="5585"/>
    <n v="0.25"/>
    <n v="1396.25"/>
    <x v="0"/>
    <x v="1"/>
    <s v="Quarterly"/>
  </r>
  <r>
    <d v="2023-02-13T00:00:00"/>
    <x v="1"/>
    <x v="0"/>
    <s v="Luminex Global"/>
    <s v="Company"/>
    <x v="3"/>
    <x v="1"/>
    <x v="2"/>
    <n v="3445"/>
    <n v="0.35"/>
    <n v="1205.75"/>
    <x v="0"/>
    <x v="2"/>
    <s v="Annual"/>
  </r>
  <r>
    <d v="2023-02-14T00:00:00"/>
    <x v="1"/>
    <x v="0"/>
    <s v="Synergenix Labs"/>
    <s v="Company"/>
    <x v="0"/>
    <x v="0"/>
    <x v="2"/>
    <n v="2513"/>
    <n v="0.3"/>
    <n v="753.9"/>
    <x v="1"/>
    <x v="2"/>
    <s v="Monthly"/>
  </r>
  <r>
    <d v="2023-02-14T00:00:00"/>
    <x v="1"/>
    <x v="0"/>
    <s v="Basma Nasser"/>
    <s v="Individual"/>
    <x v="2"/>
    <x v="1"/>
    <x v="3"/>
    <n v="3799"/>
    <n v="0.4"/>
    <n v="1519.6000000000001"/>
    <x v="1"/>
    <x v="0"/>
    <s v="Annual"/>
  </r>
  <r>
    <d v="2023-02-15T00:00:00"/>
    <x v="1"/>
    <x v="0"/>
    <s v="Sarah Ahmed"/>
    <s v="Individual"/>
    <x v="2"/>
    <x v="1"/>
    <x v="2"/>
    <n v="4170"/>
    <n v="0.4"/>
    <n v="1668"/>
    <x v="1"/>
    <x v="1"/>
    <s v="Monthly"/>
  </r>
  <r>
    <d v="2023-02-15T00:00:00"/>
    <x v="1"/>
    <x v="0"/>
    <s v="Zayed Al Nuaimi"/>
    <s v="Individual"/>
    <x v="2"/>
    <x v="1"/>
    <x v="3"/>
    <n v="2951"/>
    <n v="0.4"/>
    <n v="1180.4000000000001"/>
    <x v="0"/>
    <x v="1"/>
    <s v="Bi Annual"/>
  </r>
  <r>
    <d v="2023-02-17T00:00:00"/>
    <x v="1"/>
    <x v="0"/>
    <s v="Quanta Sphere Tech"/>
    <s v="Company"/>
    <x v="4"/>
    <x v="2"/>
    <x v="1"/>
    <n v="3425"/>
    <n v="0.25"/>
    <n v="856.25"/>
    <x v="1"/>
    <x v="1"/>
    <s v="Annual"/>
  </r>
  <r>
    <d v="2023-02-19T00:00:00"/>
    <x v="1"/>
    <x v="0"/>
    <s v="Rania Omar"/>
    <s v="Individual"/>
    <x v="3"/>
    <x v="1"/>
    <x v="3"/>
    <n v="5517"/>
    <n v="0.35"/>
    <n v="1930.9499999999998"/>
    <x v="0"/>
    <x v="0"/>
    <s v="Bi Annual"/>
  </r>
  <r>
    <d v="2023-02-20T00:00:00"/>
    <x v="1"/>
    <x v="0"/>
    <s v="Aetherion Systems"/>
    <s v="Company"/>
    <x v="4"/>
    <x v="2"/>
    <x v="2"/>
    <n v="4948"/>
    <n v="0.25"/>
    <n v="1237"/>
    <x v="1"/>
    <x v="1"/>
    <s v="Bi Annual"/>
  </r>
  <r>
    <d v="2023-02-22T00:00:00"/>
    <x v="1"/>
    <x v="0"/>
    <s v="Fatima Saeed"/>
    <s v="Individual"/>
    <x v="0"/>
    <x v="0"/>
    <x v="3"/>
    <n v="5592"/>
    <n v="0.3"/>
    <n v="1677.6"/>
    <x v="1"/>
    <x v="2"/>
    <s v="Annual"/>
  </r>
  <r>
    <d v="2023-02-22T00:00:00"/>
    <x v="1"/>
    <x v="0"/>
    <s v="Jamal Al Maktoum"/>
    <s v="Individual"/>
    <x v="1"/>
    <x v="0"/>
    <x v="1"/>
    <n v="3116"/>
    <n v="0.25"/>
    <n v="779"/>
    <x v="0"/>
    <x v="1"/>
    <s v="Quarterly"/>
  </r>
  <r>
    <d v="2023-02-22T00:00:00"/>
    <x v="1"/>
    <x v="0"/>
    <s v="Mona Al Humaidi"/>
    <s v="Individual"/>
    <x v="2"/>
    <x v="1"/>
    <x v="3"/>
    <n v="2888"/>
    <n v="0.4"/>
    <n v="1155.2"/>
    <x v="0"/>
    <x v="2"/>
    <s v="Monthly"/>
  </r>
  <r>
    <d v="2023-02-26T00:00:00"/>
    <x v="1"/>
    <x v="0"/>
    <s v="Zephyr Industries"/>
    <s v="Company"/>
    <x v="3"/>
    <x v="1"/>
    <x v="0"/>
    <n v="4547"/>
    <n v="0.35"/>
    <n v="1591.4499999999998"/>
    <x v="0"/>
    <x v="0"/>
    <s v="Bi Annual"/>
  </r>
  <r>
    <d v="2023-02-28T00:00:00"/>
    <x v="1"/>
    <x v="0"/>
    <s v="Vantoro Enterprises"/>
    <s v="Company"/>
    <x v="1"/>
    <x v="0"/>
    <x v="1"/>
    <n v="3219"/>
    <n v="0.25"/>
    <n v="804.75"/>
    <x v="1"/>
    <x v="2"/>
    <s v="Bi Annual"/>
  </r>
  <r>
    <d v="2023-02-28T00:00:00"/>
    <x v="1"/>
    <x v="0"/>
    <s v="Synergenix Labs"/>
    <s v="Company"/>
    <x v="4"/>
    <x v="2"/>
    <x v="4"/>
    <n v="4139"/>
    <n v="0.25"/>
    <n v="1034.75"/>
    <x v="0"/>
    <x v="1"/>
    <s v="Bi Annual"/>
  </r>
  <r>
    <d v="2023-02-28T00:00:00"/>
    <x v="1"/>
    <x v="0"/>
    <s v="Mariam Al Shamsi"/>
    <s v="Individual"/>
    <x v="0"/>
    <x v="0"/>
    <x v="3"/>
    <n v="4210"/>
    <n v="0.3"/>
    <n v="1263"/>
    <x v="0"/>
    <x v="1"/>
    <s v="Quarterly"/>
  </r>
  <r>
    <d v="2023-03-01T00:00:00"/>
    <x v="2"/>
    <x v="0"/>
    <s v="Yousuf Al Marri"/>
    <s v="Individual"/>
    <x v="3"/>
    <x v="1"/>
    <x v="1"/>
    <n v="4768"/>
    <n v="0.35"/>
    <n v="1668.8"/>
    <x v="1"/>
    <x v="0"/>
    <s v="Monthly"/>
  </r>
  <r>
    <d v="2023-03-01T00:00:00"/>
    <x v="2"/>
    <x v="0"/>
    <s v="Zayed Al Nuaimi"/>
    <s v="Individual"/>
    <x v="3"/>
    <x v="1"/>
    <x v="0"/>
    <n v="4863"/>
    <n v="0.35"/>
    <n v="1702.05"/>
    <x v="0"/>
    <x v="2"/>
    <s v="Annual"/>
  </r>
  <r>
    <d v="2023-03-05T00:00:00"/>
    <x v="2"/>
    <x v="0"/>
    <s v="Fatima Saeed"/>
    <s v="Individual"/>
    <x v="1"/>
    <x v="0"/>
    <x v="4"/>
    <n v="5209"/>
    <n v="0.25"/>
    <n v="1302.25"/>
    <x v="0"/>
    <x v="2"/>
    <s v="Monthly"/>
  </r>
  <r>
    <d v="2023-03-06T00:00:00"/>
    <x v="2"/>
    <x v="0"/>
    <s v="Sarah Ahmed"/>
    <s v="Individual"/>
    <x v="1"/>
    <x v="0"/>
    <x v="3"/>
    <n v="3807"/>
    <n v="0.25"/>
    <n v="951.75"/>
    <x v="1"/>
    <x v="1"/>
    <s v="Monthly"/>
  </r>
  <r>
    <d v="2023-03-07T00:00:00"/>
    <x v="2"/>
    <x v="0"/>
    <s v="InfiNova Technologies"/>
    <s v="Company"/>
    <x v="3"/>
    <x v="1"/>
    <x v="3"/>
    <n v="3219"/>
    <n v="0.35"/>
    <n v="1126.6499999999999"/>
    <x v="1"/>
    <x v="1"/>
    <s v="Quarterly"/>
  </r>
  <r>
    <d v="2023-03-09T00:00:00"/>
    <x v="2"/>
    <x v="0"/>
    <s v="Altura Networks"/>
    <s v="Company"/>
    <x v="2"/>
    <x v="1"/>
    <x v="2"/>
    <n v="5297"/>
    <n v="0.4"/>
    <n v="2118.8000000000002"/>
    <x v="1"/>
    <x v="1"/>
    <s v="Annual"/>
  </r>
  <r>
    <d v="2023-03-09T00:00:00"/>
    <x v="2"/>
    <x v="0"/>
    <s v="Octavium Digital"/>
    <s v="Company"/>
    <x v="1"/>
    <x v="0"/>
    <x v="3"/>
    <n v="3331"/>
    <n v="0.25"/>
    <n v="832.75"/>
    <x v="1"/>
    <x v="2"/>
    <s v="Quarterly"/>
  </r>
  <r>
    <d v="2023-03-10T00:00:00"/>
    <x v="2"/>
    <x v="0"/>
    <s v="Jamal Al Maktoum"/>
    <s v="Individual"/>
    <x v="2"/>
    <x v="1"/>
    <x v="2"/>
    <n v="3445"/>
    <n v="0.4"/>
    <n v="1378"/>
    <x v="1"/>
    <x v="0"/>
    <s v="Monthly"/>
  </r>
  <r>
    <d v="2023-03-11T00:00:00"/>
    <x v="2"/>
    <x v="0"/>
    <s v="Vantoro Enterprises"/>
    <s v="Company"/>
    <x v="1"/>
    <x v="0"/>
    <x v="3"/>
    <n v="3195"/>
    <n v="0.25"/>
    <n v="798.75"/>
    <x v="0"/>
    <x v="1"/>
    <s v="Quarterly"/>
  </r>
  <r>
    <d v="2023-03-16T00:00:00"/>
    <x v="2"/>
    <x v="0"/>
    <s v="InfiNova Technologies"/>
    <s v="Company"/>
    <x v="0"/>
    <x v="0"/>
    <x v="1"/>
    <n v="3458"/>
    <n v="0.3"/>
    <n v="1037.3999999999999"/>
    <x v="0"/>
    <x v="2"/>
    <s v="Monthly"/>
  </r>
  <r>
    <d v="2023-03-17T00:00:00"/>
    <x v="2"/>
    <x v="0"/>
    <s v="Nexa Core"/>
    <s v="Company"/>
    <x v="2"/>
    <x v="1"/>
    <x v="1"/>
    <n v="2405"/>
    <n v="0.4"/>
    <n v="962"/>
    <x v="1"/>
    <x v="1"/>
    <s v="Monthly"/>
  </r>
  <r>
    <d v="2023-03-19T00:00:00"/>
    <x v="2"/>
    <x v="0"/>
    <s v="Solvium Solutions"/>
    <s v="Company"/>
    <x v="2"/>
    <x v="1"/>
    <x v="4"/>
    <n v="3828"/>
    <n v="0.4"/>
    <n v="1531.2"/>
    <x v="1"/>
    <x v="0"/>
    <s v="Quarterly"/>
  </r>
  <r>
    <d v="2023-03-20T00:00:00"/>
    <x v="2"/>
    <x v="0"/>
    <s v="Stratoscope"/>
    <s v="Company"/>
    <x v="2"/>
    <x v="1"/>
    <x v="3"/>
    <n v="5260"/>
    <n v="0.4"/>
    <n v="2104"/>
    <x v="1"/>
    <x v="1"/>
    <s v="Monthly"/>
  </r>
  <r>
    <d v="2023-03-23T00:00:00"/>
    <x v="2"/>
    <x v="0"/>
    <s v="Tariq Al Zahrani"/>
    <s v="Individual"/>
    <x v="0"/>
    <x v="0"/>
    <x v="3"/>
    <n v="2548"/>
    <n v="0.3"/>
    <n v="764.4"/>
    <x v="0"/>
    <x v="1"/>
    <s v="Quarterly"/>
  </r>
  <r>
    <d v="2023-03-25T00:00:00"/>
    <x v="2"/>
    <x v="0"/>
    <s v="Sami Al Shamsi"/>
    <s v="Individual"/>
    <x v="4"/>
    <x v="2"/>
    <x v="1"/>
    <n v="4895"/>
    <n v="0.25"/>
    <n v="1223.75"/>
    <x v="1"/>
    <x v="2"/>
    <s v="Bi Annual"/>
  </r>
  <r>
    <d v="2023-03-26T00:00:00"/>
    <x v="2"/>
    <x v="0"/>
    <s v="Synergenix Labs"/>
    <s v="Company"/>
    <x v="3"/>
    <x v="1"/>
    <x v="1"/>
    <n v="5675"/>
    <n v="0.35"/>
    <n v="1986.2499999999998"/>
    <x v="1"/>
    <x v="0"/>
    <s v="Annual"/>
  </r>
  <r>
    <d v="2023-03-27T00:00:00"/>
    <x v="2"/>
    <x v="0"/>
    <s v="InfiNova Technologies"/>
    <s v="Company"/>
    <x v="2"/>
    <x v="1"/>
    <x v="0"/>
    <n v="4614"/>
    <n v="0.4"/>
    <n v="1845.6000000000001"/>
    <x v="1"/>
    <x v="1"/>
    <s v="Annual"/>
  </r>
  <r>
    <d v="2023-03-27T00:00:00"/>
    <x v="2"/>
    <x v="0"/>
    <s v="Mona Al Humaidi"/>
    <s v="Individual"/>
    <x v="4"/>
    <x v="2"/>
    <x v="1"/>
    <n v="3757"/>
    <n v="0.25"/>
    <n v="939.25"/>
    <x v="0"/>
    <x v="2"/>
    <s v="Quarterly"/>
  </r>
  <r>
    <d v="2023-03-29T00:00:00"/>
    <x v="2"/>
    <x v="0"/>
    <s v="Rania Omar"/>
    <s v="Individual"/>
    <x v="2"/>
    <x v="1"/>
    <x v="0"/>
    <n v="4527"/>
    <n v="0.4"/>
    <n v="1810.8000000000002"/>
    <x v="0"/>
    <x v="1"/>
    <s v="Annual"/>
  </r>
  <r>
    <d v="2023-03-30T00:00:00"/>
    <x v="2"/>
    <x v="0"/>
    <s v="Hanan Al Khatri"/>
    <s v="Individual"/>
    <x v="1"/>
    <x v="0"/>
    <x v="3"/>
    <n v="5027"/>
    <n v="0.25"/>
    <n v="1256.75"/>
    <x v="1"/>
    <x v="2"/>
    <s v="Monthly"/>
  </r>
  <r>
    <d v="2023-04-02T00:00:00"/>
    <x v="3"/>
    <x v="0"/>
    <s v="Octavium Digital"/>
    <s v="Company"/>
    <x v="2"/>
    <x v="1"/>
    <x v="1"/>
    <n v="4975"/>
    <n v="0.4"/>
    <n v="1990"/>
    <x v="1"/>
    <x v="2"/>
    <s v="Bi Annual"/>
  </r>
  <r>
    <d v="2023-04-05T00:00:00"/>
    <x v="3"/>
    <x v="0"/>
    <s v="Mariam Al Shamsi"/>
    <s v="Individual"/>
    <x v="3"/>
    <x v="1"/>
    <x v="3"/>
    <n v="4828"/>
    <n v="0.35"/>
    <n v="1689.8"/>
    <x v="0"/>
    <x v="0"/>
    <s v="Quarterly"/>
  </r>
  <r>
    <d v="2023-04-08T00:00:00"/>
    <x v="3"/>
    <x v="0"/>
    <s v="Vantoro Enterprises"/>
    <s v="Company"/>
    <x v="3"/>
    <x v="1"/>
    <x v="3"/>
    <n v="5616"/>
    <n v="0.35"/>
    <n v="1965.6"/>
    <x v="0"/>
    <x v="1"/>
    <s v="Bi Annual"/>
  </r>
  <r>
    <d v="2023-04-12T00:00:00"/>
    <x v="3"/>
    <x v="0"/>
    <s v="Mona Al Humaidi"/>
    <s v="Individual"/>
    <x v="1"/>
    <x v="0"/>
    <x v="0"/>
    <n v="3803"/>
    <n v="0.25"/>
    <n v="950.75"/>
    <x v="1"/>
    <x v="2"/>
    <s v="Annual"/>
  </r>
  <r>
    <d v="2023-04-13T00:00:00"/>
    <x v="3"/>
    <x v="0"/>
    <s v="Solvium Solutions"/>
    <s v="Company"/>
    <x v="4"/>
    <x v="2"/>
    <x v="2"/>
    <n v="3692"/>
    <n v="0.25"/>
    <n v="923"/>
    <x v="0"/>
    <x v="1"/>
    <s v="Quarterly"/>
  </r>
  <r>
    <d v="2023-04-13T00:00:00"/>
    <x v="3"/>
    <x v="0"/>
    <s v="Tariq Al Zahrani"/>
    <s v="Individual"/>
    <x v="0"/>
    <x v="0"/>
    <x v="0"/>
    <n v="3029"/>
    <n v="0.3"/>
    <n v="908.69999999999993"/>
    <x v="0"/>
    <x v="0"/>
    <s v="Quarterly"/>
  </r>
  <r>
    <d v="2023-04-14T00:00:00"/>
    <x v="3"/>
    <x v="0"/>
    <s v="Saeed Al Saeed"/>
    <s v="Individual"/>
    <x v="0"/>
    <x v="0"/>
    <x v="1"/>
    <n v="5670"/>
    <n v="0.3"/>
    <n v="1701"/>
    <x v="1"/>
    <x v="1"/>
    <s v="Quarterly"/>
  </r>
  <r>
    <d v="2023-04-16T00:00:00"/>
    <x v="3"/>
    <x v="0"/>
    <s v="Vantoro Enterprises"/>
    <s v="Company"/>
    <x v="1"/>
    <x v="0"/>
    <x v="2"/>
    <n v="5483"/>
    <n v="0.25"/>
    <n v="1370.75"/>
    <x v="0"/>
    <x v="2"/>
    <s v="Monthly"/>
  </r>
  <r>
    <d v="2023-04-19T00:00:00"/>
    <x v="3"/>
    <x v="0"/>
    <s v="Nexa Core"/>
    <s v="Company"/>
    <x v="3"/>
    <x v="1"/>
    <x v="0"/>
    <n v="2771"/>
    <n v="0.35"/>
    <n v="969.84999999999991"/>
    <x v="1"/>
    <x v="1"/>
    <s v="Quarterly"/>
  </r>
  <r>
    <d v="2023-04-21T00:00:00"/>
    <x v="3"/>
    <x v="0"/>
    <s v="Vantoro Enterprises"/>
    <s v="Company"/>
    <x v="2"/>
    <x v="1"/>
    <x v="4"/>
    <n v="4892"/>
    <n v="0.4"/>
    <n v="1956.8000000000002"/>
    <x v="0"/>
    <x v="1"/>
    <s v="Quarterly"/>
  </r>
  <r>
    <d v="2023-04-21T00:00:00"/>
    <x v="3"/>
    <x v="0"/>
    <s v="Sami Al Shamsi"/>
    <s v="Individual"/>
    <x v="3"/>
    <x v="1"/>
    <x v="3"/>
    <n v="3772"/>
    <n v="0.35"/>
    <n v="1320.1999999999998"/>
    <x v="0"/>
    <x v="0"/>
    <s v="Bi Annual"/>
  </r>
  <r>
    <d v="2023-04-22T00:00:00"/>
    <x v="3"/>
    <x v="0"/>
    <s v="Zayed Al Nuaimi"/>
    <s v="Individual"/>
    <x v="2"/>
    <x v="1"/>
    <x v="3"/>
    <n v="2496"/>
    <n v="0.4"/>
    <n v="998.40000000000009"/>
    <x v="0"/>
    <x v="2"/>
    <s v="Monthly"/>
  </r>
  <r>
    <d v="2023-04-23T00:00:00"/>
    <x v="3"/>
    <x v="0"/>
    <s v="Octavium Digital"/>
    <s v="Company"/>
    <x v="2"/>
    <x v="1"/>
    <x v="2"/>
    <n v="4405"/>
    <n v="0.4"/>
    <n v="1762"/>
    <x v="0"/>
    <x v="2"/>
    <s v="Bi Annual"/>
  </r>
  <r>
    <d v="2023-04-24T00:00:00"/>
    <x v="3"/>
    <x v="0"/>
    <s v="Rania Omar"/>
    <s v="Individual"/>
    <x v="1"/>
    <x v="0"/>
    <x v="3"/>
    <n v="3973"/>
    <n v="0.25"/>
    <n v="993.25"/>
    <x v="1"/>
    <x v="0"/>
    <s v="Bi Annual"/>
  </r>
  <r>
    <d v="2023-04-25T00:00:00"/>
    <x v="3"/>
    <x v="0"/>
    <s v="Synergenix Labs"/>
    <s v="Company"/>
    <x v="4"/>
    <x v="2"/>
    <x v="3"/>
    <n v="4627"/>
    <n v="0.25"/>
    <n v="1156.75"/>
    <x v="0"/>
    <x v="1"/>
    <s v="Monthly"/>
  </r>
  <r>
    <d v="2023-04-29T00:00:00"/>
    <x v="3"/>
    <x v="0"/>
    <s v="Stratoscope"/>
    <s v="Company"/>
    <x v="2"/>
    <x v="1"/>
    <x v="2"/>
    <n v="5195"/>
    <n v="0.4"/>
    <n v="2078"/>
    <x v="0"/>
    <x v="2"/>
    <s v="Quarterly"/>
  </r>
  <r>
    <d v="2023-04-29T00:00:00"/>
    <x v="3"/>
    <x v="0"/>
    <s v="Tariq Al Zahrani"/>
    <s v="Individual"/>
    <x v="0"/>
    <x v="0"/>
    <x v="0"/>
    <n v="4412"/>
    <n v="0.3"/>
    <n v="1323.6"/>
    <x v="0"/>
    <x v="1"/>
    <s v="Quarterly"/>
  </r>
  <r>
    <d v="2023-04-30T00:00:00"/>
    <x v="3"/>
    <x v="0"/>
    <s v="Aetherion Systems"/>
    <s v="Company"/>
    <x v="0"/>
    <x v="0"/>
    <x v="1"/>
    <n v="5440"/>
    <n v="0.3"/>
    <n v="1632"/>
    <x v="0"/>
    <x v="1"/>
    <s v="Quarterly"/>
  </r>
  <r>
    <d v="2023-04-30T00:00:00"/>
    <x v="3"/>
    <x v="0"/>
    <s v="Tariq Al Zahrani"/>
    <s v="Individual"/>
    <x v="0"/>
    <x v="0"/>
    <x v="3"/>
    <n v="4099"/>
    <n v="0.3"/>
    <n v="1229.7"/>
    <x v="0"/>
    <x v="0"/>
    <s v="Annual"/>
  </r>
  <r>
    <d v="2023-04-30T00:00:00"/>
    <x v="3"/>
    <x v="0"/>
    <s v="Sarah Ahmed"/>
    <s v="Individual"/>
    <x v="0"/>
    <x v="0"/>
    <x v="2"/>
    <n v="2978"/>
    <n v="0.3"/>
    <n v="893.4"/>
    <x v="1"/>
    <x v="0"/>
    <s v="Monthly"/>
  </r>
  <r>
    <d v="2023-05-01T00:00:00"/>
    <x v="4"/>
    <x v="0"/>
    <s v="Laila Al Mulla"/>
    <s v="Individual"/>
    <x v="0"/>
    <x v="0"/>
    <x v="2"/>
    <n v="2689"/>
    <n v="0.3"/>
    <n v="806.69999999999993"/>
    <x v="0"/>
    <x v="0"/>
    <s v="Monthly"/>
  </r>
  <r>
    <d v="2023-05-05T00:00:00"/>
    <x v="4"/>
    <x v="0"/>
    <s v="Rania Omar"/>
    <s v="Individual"/>
    <x v="1"/>
    <x v="0"/>
    <x v="3"/>
    <n v="5482"/>
    <n v="0.25"/>
    <n v="1370.5"/>
    <x v="0"/>
    <x v="2"/>
    <s v="Monthly"/>
  </r>
  <r>
    <d v="2023-05-06T00:00:00"/>
    <x v="4"/>
    <x v="0"/>
    <s v="Quanta Sphere Tech"/>
    <s v="Company"/>
    <x v="2"/>
    <x v="1"/>
    <x v="2"/>
    <n v="4475"/>
    <n v="0.4"/>
    <n v="1790"/>
    <x v="0"/>
    <x v="1"/>
    <s v="Monthly"/>
  </r>
  <r>
    <d v="2023-05-07T00:00:00"/>
    <x v="4"/>
    <x v="0"/>
    <s v="Aetherion Systems"/>
    <s v="Company"/>
    <x v="4"/>
    <x v="2"/>
    <x v="3"/>
    <n v="5517"/>
    <n v="0.25"/>
    <n v="1379.25"/>
    <x v="0"/>
    <x v="2"/>
    <s v="Bi Annual"/>
  </r>
  <r>
    <d v="2023-05-09T00:00:00"/>
    <x v="4"/>
    <x v="0"/>
    <s v="Zephyr Industries"/>
    <s v="Company"/>
    <x v="3"/>
    <x v="1"/>
    <x v="3"/>
    <n v="4013"/>
    <n v="0.35"/>
    <n v="1404.55"/>
    <x v="0"/>
    <x v="0"/>
    <s v="Annual"/>
  </r>
  <r>
    <d v="2023-05-11T00:00:00"/>
    <x v="4"/>
    <x v="0"/>
    <s v="Stratoscope"/>
    <s v="Company"/>
    <x v="2"/>
    <x v="1"/>
    <x v="2"/>
    <n v="3518"/>
    <n v="0.4"/>
    <n v="1407.2"/>
    <x v="1"/>
    <x v="1"/>
    <s v="Quarterly"/>
  </r>
  <r>
    <d v="2023-05-11T00:00:00"/>
    <x v="4"/>
    <x v="0"/>
    <s v="Altura Networks"/>
    <s v="Company"/>
    <x v="4"/>
    <x v="2"/>
    <x v="2"/>
    <n v="3067"/>
    <n v="0.25"/>
    <n v="766.75"/>
    <x v="0"/>
    <x v="0"/>
    <s v="Annual"/>
  </r>
  <r>
    <d v="2023-05-12T00:00:00"/>
    <x v="4"/>
    <x v="0"/>
    <s v="Rania Omar"/>
    <s v="Individual"/>
    <x v="2"/>
    <x v="1"/>
    <x v="3"/>
    <n v="3374"/>
    <n v="0.4"/>
    <n v="1349.6000000000001"/>
    <x v="0"/>
    <x v="2"/>
    <s v="Monthly"/>
  </r>
  <r>
    <d v="2023-05-14T00:00:00"/>
    <x v="4"/>
    <x v="0"/>
    <s v="Nexa Core"/>
    <s v="Company"/>
    <x v="4"/>
    <x v="2"/>
    <x v="2"/>
    <n v="4925"/>
    <n v="0.25"/>
    <n v="1231.25"/>
    <x v="1"/>
    <x v="0"/>
    <s v="Annual"/>
  </r>
  <r>
    <d v="2023-05-16T00:00:00"/>
    <x v="4"/>
    <x v="0"/>
    <s v="Noura Rashid"/>
    <s v="Individual"/>
    <x v="0"/>
    <x v="0"/>
    <x v="2"/>
    <n v="2945"/>
    <n v="0.3"/>
    <n v="883.5"/>
    <x v="1"/>
    <x v="2"/>
    <s v="Bi Annual"/>
  </r>
  <r>
    <d v="2023-05-18T00:00:00"/>
    <x v="4"/>
    <x v="0"/>
    <s v="Stratoscope"/>
    <s v="Company"/>
    <x v="0"/>
    <x v="0"/>
    <x v="1"/>
    <n v="3440"/>
    <n v="0.3"/>
    <n v="1032"/>
    <x v="0"/>
    <x v="2"/>
    <s v="Quarterly"/>
  </r>
  <r>
    <d v="2023-05-20T00:00:00"/>
    <x v="4"/>
    <x v="0"/>
    <s v="Vantoro Enterprises"/>
    <s v="Company"/>
    <x v="0"/>
    <x v="0"/>
    <x v="4"/>
    <n v="2771"/>
    <n v="0.3"/>
    <n v="831.3"/>
    <x v="0"/>
    <x v="2"/>
    <s v="Quarterly"/>
  </r>
  <r>
    <d v="2023-05-20T00:00:00"/>
    <x v="4"/>
    <x v="0"/>
    <s v="Zayed Al Nuaimi"/>
    <s v="Individual"/>
    <x v="0"/>
    <x v="0"/>
    <x v="3"/>
    <n v="2837"/>
    <n v="0.3"/>
    <n v="851.1"/>
    <x v="0"/>
    <x v="0"/>
    <s v="Monthly"/>
  </r>
  <r>
    <d v="2023-05-22T00:00:00"/>
    <x v="4"/>
    <x v="0"/>
    <s v="Synergenix Labs"/>
    <s v="Company"/>
    <x v="0"/>
    <x v="0"/>
    <x v="3"/>
    <n v="4942"/>
    <n v="0.3"/>
    <n v="1482.6"/>
    <x v="0"/>
    <x v="1"/>
    <s v="Bi Annual"/>
  </r>
  <r>
    <d v="2023-05-22T00:00:00"/>
    <x v="4"/>
    <x v="0"/>
    <s v="Saeed Al Saeed"/>
    <s v="Individual"/>
    <x v="1"/>
    <x v="0"/>
    <x v="2"/>
    <n v="5310"/>
    <n v="0.25"/>
    <n v="1327.5"/>
    <x v="0"/>
    <x v="2"/>
    <s v="Annual"/>
  </r>
  <r>
    <d v="2023-05-22T00:00:00"/>
    <x v="4"/>
    <x v="0"/>
    <s v="Mona Al Humaidi"/>
    <s v="Individual"/>
    <x v="3"/>
    <x v="1"/>
    <x v="2"/>
    <n v="2419"/>
    <n v="0.35"/>
    <n v="846.65"/>
    <x v="1"/>
    <x v="2"/>
    <s v="Monthly"/>
  </r>
  <r>
    <d v="2023-05-24T00:00:00"/>
    <x v="4"/>
    <x v="0"/>
    <s v="Octavium Digital"/>
    <s v="Company"/>
    <x v="2"/>
    <x v="1"/>
    <x v="0"/>
    <n v="3369"/>
    <n v="0.4"/>
    <n v="1347.6000000000001"/>
    <x v="1"/>
    <x v="1"/>
    <s v="Monthly"/>
  </r>
  <r>
    <d v="2023-05-28T00:00:00"/>
    <x v="4"/>
    <x v="0"/>
    <s v="Rania Omar"/>
    <s v="Individual"/>
    <x v="3"/>
    <x v="1"/>
    <x v="2"/>
    <n v="3406"/>
    <n v="0.35"/>
    <n v="1192.0999999999999"/>
    <x v="0"/>
    <x v="2"/>
    <s v="Annual"/>
  </r>
  <r>
    <d v="2023-05-30T00:00:00"/>
    <x v="4"/>
    <x v="0"/>
    <s v="Rania Omar"/>
    <s v="Individual"/>
    <x v="2"/>
    <x v="1"/>
    <x v="3"/>
    <n v="3189"/>
    <n v="0.4"/>
    <n v="1275.6000000000001"/>
    <x v="1"/>
    <x v="2"/>
    <s v="Annual"/>
  </r>
  <r>
    <d v="2023-05-31T00:00:00"/>
    <x v="4"/>
    <x v="0"/>
    <s v="Yousuf Al Marri"/>
    <s v="Individual"/>
    <x v="1"/>
    <x v="0"/>
    <x v="3"/>
    <n v="3286"/>
    <n v="0.25"/>
    <n v="821.5"/>
    <x v="1"/>
    <x v="1"/>
    <s v="Monthly"/>
  </r>
  <r>
    <d v="2023-06-04T00:00:00"/>
    <x v="5"/>
    <x v="0"/>
    <s v="Layla Al Dhanhani"/>
    <s v="Individual"/>
    <x v="3"/>
    <x v="1"/>
    <x v="1"/>
    <n v="4390"/>
    <n v="0.35"/>
    <n v="1536.5"/>
    <x v="1"/>
    <x v="0"/>
    <s v="Annual"/>
  </r>
  <r>
    <d v="2023-06-08T00:00:00"/>
    <x v="5"/>
    <x v="0"/>
    <s v="Aetherion Systems"/>
    <s v="Company"/>
    <x v="3"/>
    <x v="1"/>
    <x v="4"/>
    <n v="3574"/>
    <n v="0.35"/>
    <n v="1250.8999999999999"/>
    <x v="0"/>
    <x v="2"/>
    <s v="Bi Annual"/>
  </r>
  <r>
    <d v="2023-06-09T00:00:00"/>
    <x v="5"/>
    <x v="0"/>
    <s v="Fatima Saeed"/>
    <s v="Individual"/>
    <x v="2"/>
    <x v="1"/>
    <x v="2"/>
    <n v="5328"/>
    <n v="0.4"/>
    <n v="2131.2000000000003"/>
    <x v="1"/>
    <x v="0"/>
    <s v="Bi Annual"/>
  </r>
  <r>
    <d v="2023-06-11T00:00:00"/>
    <x v="5"/>
    <x v="0"/>
    <s v="Luminex Global"/>
    <s v="Company"/>
    <x v="4"/>
    <x v="2"/>
    <x v="2"/>
    <n v="3848"/>
    <n v="0.25"/>
    <n v="962"/>
    <x v="1"/>
    <x v="0"/>
    <s v="Annual"/>
  </r>
  <r>
    <d v="2023-06-11T00:00:00"/>
    <x v="5"/>
    <x v="0"/>
    <s v="Nexa Core"/>
    <s v="Company"/>
    <x v="1"/>
    <x v="0"/>
    <x v="3"/>
    <n v="2863"/>
    <n v="0.25"/>
    <n v="715.75"/>
    <x v="1"/>
    <x v="0"/>
    <s v="Annual"/>
  </r>
  <r>
    <d v="2023-06-11T00:00:00"/>
    <x v="5"/>
    <x v="0"/>
    <s v="Fatima Saeed"/>
    <s v="Individual"/>
    <x v="2"/>
    <x v="1"/>
    <x v="0"/>
    <n v="5052"/>
    <n v="0.4"/>
    <n v="2020.8000000000002"/>
    <x v="1"/>
    <x v="2"/>
    <s v="Bi Annual"/>
  </r>
  <r>
    <d v="2023-06-13T00:00:00"/>
    <x v="5"/>
    <x v="0"/>
    <s v="Octavium Digital"/>
    <s v="Company"/>
    <x v="0"/>
    <x v="0"/>
    <x v="4"/>
    <n v="3141"/>
    <n v="0.3"/>
    <n v="942.3"/>
    <x v="0"/>
    <x v="1"/>
    <s v="Annual"/>
  </r>
  <r>
    <d v="2023-06-14T00:00:00"/>
    <x v="5"/>
    <x v="0"/>
    <s v="Khaled Al Farsi"/>
    <s v="Individual"/>
    <x v="3"/>
    <x v="1"/>
    <x v="1"/>
    <n v="2898"/>
    <n v="0.35"/>
    <n v="1014.3"/>
    <x v="0"/>
    <x v="1"/>
    <s v="Bi Annual"/>
  </r>
  <r>
    <d v="2023-06-15T00:00:00"/>
    <x v="5"/>
    <x v="0"/>
    <s v="Nexa Core"/>
    <s v="Company"/>
    <x v="3"/>
    <x v="1"/>
    <x v="2"/>
    <n v="5404"/>
    <n v="0.35"/>
    <n v="1891.3999999999999"/>
    <x v="0"/>
    <x v="0"/>
    <s v="Quarterly"/>
  </r>
  <r>
    <d v="2023-06-17T00:00:00"/>
    <x v="5"/>
    <x v="0"/>
    <s v="Laila Al Mulla"/>
    <s v="Individual"/>
    <x v="4"/>
    <x v="2"/>
    <x v="1"/>
    <n v="4622"/>
    <n v="0.25"/>
    <n v="1155.5"/>
    <x v="0"/>
    <x v="1"/>
    <s v="Quarterly"/>
  </r>
  <r>
    <d v="2023-06-18T00:00:00"/>
    <x v="5"/>
    <x v="0"/>
    <s v="InfiNova Technologies"/>
    <s v="Company"/>
    <x v="0"/>
    <x v="0"/>
    <x v="0"/>
    <n v="3171"/>
    <n v="0.3"/>
    <n v="951.3"/>
    <x v="1"/>
    <x v="2"/>
    <s v="Quarterly"/>
  </r>
  <r>
    <d v="2023-06-19T00:00:00"/>
    <x v="5"/>
    <x v="0"/>
    <s v="Octavium Digital"/>
    <s v="Company"/>
    <x v="3"/>
    <x v="1"/>
    <x v="3"/>
    <n v="5328"/>
    <n v="0.35"/>
    <n v="1864.8"/>
    <x v="0"/>
    <x v="1"/>
    <s v="Quarterly"/>
  </r>
  <r>
    <d v="2023-06-19T00:00:00"/>
    <x v="5"/>
    <x v="0"/>
    <s v="Tariq Al Zahrani"/>
    <s v="Individual"/>
    <x v="1"/>
    <x v="0"/>
    <x v="2"/>
    <n v="2611"/>
    <n v="0.25"/>
    <n v="652.75"/>
    <x v="0"/>
    <x v="2"/>
    <s v="Monthly"/>
  </r>
  <r>
    <d v="2023-06-21T00:00:00"/>
    <x v="5"/>
    <x v="0"/>
    <s v="Luminex Global"/>
    <s v="Company"/>
    <x v="4"/>
    <x v="2"/>
    <x v="2"/>
    <n v="5613"/>
    <n v="0.25"/>
    <n v="1403.25"/>
    <x v="0"/>
    <x v="2"/>
    <s v="Monthly"/>
  </r>
  <r>
    <d v="2023-06-21T00:00:00"/>
    <x v="5"/>
    <x v="0"/>
    <s v="Aetherion Systems"/>
    <s v="Company"/>
    <x v="4"/>
    <x v="2"/>
    <x v="3"/>
    <n v="2953"/>
    <n v="0.25"/>
    <n v="738.25"/>
    <x v="0"/>
    <x v="0"/>
    <s v="Monthly"/>
  </r>
  <r>
    <d v="2023-06-22T00:00:00"/>
    <x v="5"/>
    <x v="0"/>
    <s v="Noura Rashid"/>
    <s v="Individual"/>
    <x v="3"/>
    <x v="1"/>
    <x v="0"/>
    <n v="3049"/>
    <n v="0.35"/>
    <n v="1067.1499999999999"/>
    <x v="0"/>
    <x v="0"/>
    <s v="Monthly"/>
  </r>
  <r>
    <d v="2023-06-23T00:00:00"/>
    <x v="5"/>
    <x v="0"/>
    <s v="Altura Networks"/>
    <s v="Company"/>
    <x v="0"/>
    <x v="0"/>
    <x v="3"/>
    <n v="3853"/>
    <n v="0.3"/>
    <n v="1155.8999999999999"/>
    <x v="0"/>
    <x v="1"/>
    <s v="Monthly"/>
  </r>
  <r>
    <d v="2023-06-26T00:00:00"/>
    <x v="5"/>
    <x v="0"/>
    <s v="Hanan Al Khatri"/>
    <s v="Individual"/>
    <x v="2"/>
    <x v="1"/>
    <x v="1"/>
    <n v="5066"/>
    <n v="0.4"/>
    <n v="2026.4"/>
    <x v="0"/>
    <x v="0"/>
    <s v="Bi Annual"/>
  </r>
  <r>
    <d v="2023-06-27T00:00:00"/>
    <x v="5"/>
    <x v="0"/>
    <s v="Basma Nasser"/>
    <s v="Individual"/>
    <x v="0"/>
    <x v="0"/>
    <x v="4"/>
    <n v="4429"/>
    <n v="0.3"/>
    <n v="1328.7"/>
    <x v="0"/>
    <x v="1"/>
    <s v="Quarterly"/>
  </r>
  <r>
    <d v="2023-06-29T00:00:00"/>
    <x v="5"/>
    <x v="0"/>
    <s v="Mariam Al Shamsi"/>
    <s v="Individual"/>
    <x v="0"/>
    <x v="0"/>
    <x v="2"/>
    <n v="2663"/>
    <n v="0.3"/>
    <n v="798.9"/>
    <x v="0"/>
    <x v="1"/>
    <s v="Bi Annual"/>
  </r>
  <r>
    <d v="2023-07-01T00:00:00"/>
    <x v="6"/>
    <x v="0"/>
    <s v="Aetherion Systems"/>
    <s v="Company"/>
    <x v="4"/>
    <x v="2"/>
    <x v="3"/>
    <n v="5028"/>
    <n v="0.25"/>
    <n v="1257"/>
    <x v="1"/>
    <x v="2"/>
    <s v="Bi Annual"/>
  </r>
  <r>
    <d v="2023-07-02T00:00:00"/>
    <x v="6"/>
    <x v="0"/>
    <s v="Hanan Al Khatri"/>
    <s v="Individual"/>
    <x v="1"/>
    <x v="0"/>
    <x v="3"/>
    <n v="5871"/>
    <n v="0.25"/>
    <n v="1467.75"/>
    <x v="1"/>
    <x v="0"/>
    <s v="Annual"/>
  </r>
  <r>
    <d v="2023-07-03T00:00:00"/>
    <x v="6"/>
    <x v="0"/>
    <s v="Vantoro Enterprises"/>
    <s v="Company"/>
    <x v="2"/>
    <x v="1"/>
    <x v="2"/>
    <n v="6735"/>
    <n v="0.4"/>
    <n v="2694"/>
    <x v="0"/>
    <x v="2"/>
    <s v="Bi Annual"/>
  </r>
  <r>
    <d v="2023-07-03T00:00:00"/>
    <x v="6"/>
    <x v="0"/>
    <s v="Aetherion Systems"/>
    <s v="Company"/>
    <x v="2"/>
    <x v="1"/>
    <x v="4"/>
    <n v="7042"/>
    <n v="0.4"/>
    <n v="2816.8"/>
    <x v="0"/>
    <x v="0"/>
    <s v="Monthly"/>
  </r>
  <r>
    <d v="2023-07-06T00:00:00"/>
    <x v="6"/>
    <x v="0"/>
    <s v="Omar Ali"/>
    <s v="Individual"/>
    <x v="0"/>
    <x v="0"/>
    <x v="2"/>
    <n v="6997"/>
    <n v="0.3"/>
    <n v="2099.1"/>
    <x v="0"/>
    <x v="2"/>
    <s v="Bi Annual"/>
  </r>
  <r>
    <d v="2023-07-10T00:00:00"/>
    <x v="6"/>
    <x v="0"/>
    <s v="Altura Networks"/>
    <s v="Company"/>
    <x v="4"/>
    <x v="2"/>
    <x v="3"/>
    <n v="6913"/>
    <n v="0.25"/>
    <n v="1728.25"/>
    <x v="1"/>
    <x v="1"/>
    <s v="Quarterly"/>
  </r>
  <r>
    <d v="2023-07-11T00:00:00"/>
    <x v="6"/>
    <x v="0"/>
    <s v="Vantoro Enterprises"/>
    <s v="Company"/>
    <x v="4"/>
    <x v="2"/>
    <x v="0"/>
    <n v="6768"/>
    <n v="0.25"/>
    <n v="1692"/>
    <x v="0"/>
    <x v="2"/>
    <s v="Annual"/>
  </r>
  <r>
    <d v="2023-07-11T00:00:00"/>
    <x v="6"/>
    <x v="0"/>
    <s v="Hanan Al Khatri"/>
    <s v="Individual"/>
    <x v="4"/>
    <x v="2"/>
    <x v="4"/>
    <n v="5624"/>
    <n v="0.25"/>
    <n v="1406"/>
    <x v="0"/>
    <x v="2"/>
    <s v="Annual"/>
  </r>
  <r>
    <d v="2023-07-11T00:00:00"/>
    <x v="6"/>
    <x v="0"/>
    <s v="Hanan Al Khatri"/>
    <s v="Individual"/>
    <x v="2"/>
    <x v="1"/>
    <x v="3"/>
    <n v="7247"/>
    <n v="0.4"/>
    <n v="2898.8"/>
    <x v="0"/>
    <x v="0"/>
    <s v="Annual"/>
  </r>
  <r>
    <d v="2023-07-13T00:00:00"/>
    <x v="6"/>
    <x v="0"/>
    <s v="Fatima Saeed"/>
    <s v="Individual"/>
    <x v="1"/>
    <x v="0"/>
    <x v="2"/>
    <n v="7252"/>
    <n v="0.25"/>
    <n v="1813"/>
    <x v="1"/>
    <x v="2"/>
    <s v="Annual"/>
  </r>
  <r>
    <d v="2023-07-15T00:00:00"/>
    <x v="6"/>
    <x v="0"/>
    <s v="Synergenix Labs"/>
    <s v="Company"/>
    <x v="2"/>
    <x v="1"/>
    <x v="4"/>
    <n v="5980"/>
    <n v="0.4"/>
    <n v="2392"/>
    <x v="1"/>
    <x v="1"/>
    <s v="Monthly"/>
  </r>
  <r>
    <d v="2023-07-15T00:00:00"/>
    <x v="6"/>
    <x v="0"/>
    <s v="Zayed Al Nuaimi"/>
    <s v="Individual"/>
    <x v="3"/>
    <x v="1"/>
    <x v="0"/>
    <n v="7259"/>
    <n v="0.35"/>
    <n v="2540.6499999999996"/>
    <x v="0"/>
    <x v="0"/>
    <s v="Quarterly"/>
  </r>
  <r>
    <d v="2023-07-15T00:00:00"/>
    <x v="6"/>
    <x v="0"/>
    <s v="Zayed Al Nuaimi"/>
    <s v="Individual"/>
    <x v="3"/>
    <x v="1"/>
    <x v="3"/>
    <n v="6125"/>
    <n v="0.35"/>
    <n v="2143.75"/>
    <x v="0"/>
    <x v="1"/>
    <s v="Bi Annual"/>
  </r>
  <r>
    <d v="2023-07-20T00:00:00"/>
    <x v="6"/>
    <x v="0"/>
    <s v="Stratoscope"/>
    <s v="Company"/>
    <x v="1"/>
    <x v="0"/>
    <x v="0"/>
    <n v="5780"/>
    <n v="0.25"/>
    <n v="1445"/>
    <x v="0"/>
    <x v="0"/>
    <s v="Bi Annual"/>
  </r>
  <r>
    <d v="2023-07-20T00:00:00"/>
    <x v="6"/>
    <x v="0"/>
    <s v="Vantoro Enterprises"/>
    <s v="Company"/>
    <x v="2"/>
    <x v="1"/>
    <x v="1"/>
    <n v="5777"/>
    <n v="0.4"/>
    <n v="2310.8000000000002"/>
    <x v="0"/>
    <x v="2"/>
    <s v="Bi Annual"/>
  </r>
  <r>
    <d v="2023-07-30T00:00:00"/>
    <x v="6"/>
    <x v="0"/>
    <s v="InfiNova Technologies"/>
    <s v="Company"/>
    <x v="1"/>
    <x v="0"/>
    <x v="1"/>
    <n v="7325"/>
    <n v="0.25"/>
    <n v="1831.25"/>
    <x v="0"/>
    <x v="0"/>
    <s v="Monthly"/>
  </r>
  <r>
    <d v="2023-07-30T00:00:00"/>
    <x v="6"/>
    <x v="0"/>
    <s v="Vantoro Enterprises"/>
    <s v="Company"/>
    <x v="1"/>
    <x v="0"/>
    <x v="3"/>
    <n v="7139"/>
    <n v="0.25"/>
    <n v="1784.75"/>
    <x v="1"/>
    <x v="2"/>
    <s v="Quarterly"/>
  </r>
  <r>
    <d v="2023-07-30T00:00:00"/>
    <x v="6"/>
    <x v="0"/>
    <s v="Jamal Al Maktoum"/>
    <s v="Individual"/>
    <x v="0"/>
    <x v="0"/>
    <x v="1"/>
    <n v="5676"/>
    <n v="0.3"/>
    <n v="1702.8"/>
    <x v="1"/>
    <x v="0"/>
    <s v="Quarterly"/>
  </r>
  <r>
    <d v="2023-07-30T00:00:00"/>
    <x v="6"/>
    <x v="0"/>
    <s v="Rania Omar"/>
    <s v="Individual"/>
    <x v="0"/>
    <x v="0"/>
    <x v="3"/>
    <n v="6440"/>
    <n v="0.3"/>
    <n v="1932"/>
    <x v="0"/>
    <x v="1"/>
    <s v="Quarterly"/>
  </r>
  <r>
    <d v="2023-07-31T00:00:00"/>
    <x v="6"/>
    <x v="0"/>
    <s v="Omar Ali"/>
    <s v="Individual"/>
    <x v="4"/>
    <x v="2"/>
    <x v="1"/>
    <n v="6331"/>
    <n v="0.25"/>
    <n v="1582.75"/>
    <x v="0"/>
    <x v="2"/>
    <s v="Quarterly"/>
  </r>
  <r>
    <d v="2023-08-05T00:00:00"/>
    <x v="7"/>
    <x v="0"/>
    <s v="Quanta Sphere Tech"/>
    <s v="Company"/>
    <x v="3"/>
    <x v="1"/>
    <x v="3"/>
    <n v="7410"/>
    <n v="0.35"/>
    <n v="2593.5"/>
    <x v="1"/>
    <x v="0"/>
    <s v="Annual"/>
  </r>
  <r>
    <d v="2023-08-05T00:00:00"/>
    <x v="7"/>
    <x v="0"/>
    <s v="Mona Al Humaidi"/>
    <s v="Individual"/>
    <x v="4"/>
    <x v="2"/>
    <x v="3"/>
    <n v="6926"/>
    <n v="0.25"/>
    <n v="1731.5"/>
    <x v="1"/>
    <x v="2"/>
    <s v="Bi Annual"/>
  </r>
  <r>
    <d v="2023-08-05T00:00:00"/>
    <x v="7"/>
    <x v="0"/>
    <s v="Ahmed Yousuf"/>
    <s v="Individual"/>
    <x v="3"/>
    <x v="1"/>
    <x v="3"/>
    <n v="6805"/>
    <n v="0.35"/>
    <n v="2381.75"/>
    <x v="0"/>
    <x v="0"/>
    <s v="Annual"/>
  </r>
  <r>
    <d v="2023-08-07T00:00:00"/>
    <x v="7"/>
    <x v="0"/>
    <s v="InfiNova Technologies"/>
    <s v="Company"/>
    <x v="1"/>
    <x v="0"/>
    <x v="1"/>
    <n v="7689"/>
    <n v="0.25"/>
    <n v="1922.25"/>
    <x v="1"/>
    <x v="0"/>
    <s v="Quarterly"/>
  </r>
  <r>
    <d v="2023-08-11T00:00:00"/>
    <x v="7"/>
    <x v="0"/>
    <s v="Basma Nasser"/>
    <s v="Individual"/>
    <x v="4"/>
    <x v="2"/>
    <x v="4"/>
    <n v="5830"/>
    <n v="0.25"/>
    <n v="1457.5"/>
    <x v="0"/>
    <x v="1"/>
    <s v="Bi Annual"/>
  </r>
  <r>
    <d v="2023-08-12T00:00:00"/>
    <x v="7"/>
    <x v="0"/>
    <s v="Ahmed Yousuf"/>
    <s v="Individual"/>
    <x v="4"/>
    <x v="2"/>
    <x v="1"/>
    <n v="6799"/>
    <n v="0.25"/>
    <n v="1699.75"/>
    <x v="0"/>
    <x v="1"/>
    <s v="Monthly"/>
  </r>
  <r>
    <d v="2023-08-17T00:00:00"/>
    <x v="7"/>
    <x v="0"/>
    <s v="Mariam Al Shamsi"/>
    <s v="Individual"/>
    <x v="4"/>
    <x v="2"/>
    <x v="3"/>
    <n v="5750"/>
    <n v="0.25"/>
    <n v="1437.5"/>
    <x v="0"/>
    <x v="0"/>
    <s v="Annual"/>
  </r>
  <r>
    <d v="2023-08-18T00:00:00"/>
    <x v="7"/>
    <x v="0"/>
    <s v="Luminex Global"/>
    <s v="Company"/>
    <x v="4"/>
    <x v="2"/>
    <x v="1"/>
    <n v="7447"/>
    <n v="0.25"/>
    <n v="1861.75"/>
    <x v="0"/>
    <x v="0"/>
    <s v="Monthly"/>
  </r>
  <r>
    <d v="2023-08-18T00:00:00"/>
    <x v="7"/>
    <x v="0"/>
    <s v="Stratoscope"/>
    <s v="Company"/>
    <x v="4"/>
    <x v="2"/>
    <x v="0"/>
    <n v="7243"/>
    <n v="0.25"/>
    <n v="1810.75"/>
    <x v="0"/>
    <x v="0"/>
    <s v="Monthly"/>
  </r>
  <r>
    <d v="2023-08-18T00:00:00"/>
    <x v="7"/>
    <x v="0"/>
    <s v="Layla Al Dhanhani"/>
    <s v="Individual"/>
    <x v="1"/>
    <x v="0"/>
    <x v="0"/>
    <n v="5541"/>
    <n v="0.25"/>
    <n v="1385.25"/>
    <x v="1"/>
    <x v="1"/>
    <s v="Quarterly"/>
  </r>
  <r>
    <d v="2023-08-18T00:00:00"/>
    <x v="7"/>
    <x v="0"/>
    <s v="Rania Omar"/>
    <s v="Individual"/>
    <x v="1"/>
    <x v="0"/>
    <x v="0"/>
    <n v="6457"/>
    <n v="0.25"/>
    <n v="1614.25"/>
    <x v="0"/>
    <x v="0"/>
    <s v="Quarterly"/>
  </r>
  <r>
    <d v="2023-08-20T00:00:00"/>
    <x v="7"/>
    <x v="0"/>
    <s v="InfiNova Technologies"/>
    <s v="Company"/>
    <x v="3"/>
    <x v="1"/>
    <x v="0"/>
    <n v="5696"/>
    <n v="0.35"/>
    <n v="1993.6"/>
    <x v="0"/>
    <x v="2"/>
    <s v="Monthly"/>
  </r>
  <r>
    <d v="2023-08-22T00:00:00"/>
    <x v="7"/>
    <x v="0"/>
    <s v="Fatima Saeed"/>
    <s v="Individual"/>
    <x v="2"/>
    <x v="1"/>
    <x v="4"/>
    <n v="5218"/>
    <n v="0.4"/>
    <n v="2087.2000000000003"/>
    <x v="0"/>
    <x v="2"/>
    <s v="Bi Annual"/>
  </r>
  <r>
    <d v="2023-08-26T00:00:00"/>
    <x v="7"/>
    <x v="0"/>
    <s v="Stratoscope"/>
    <s v="Company"/>
    <x v="3"/>
    <x v="1"/>
    <x v="3"/>
    <n v="7285"/>
    <n v="0.35"/>
    <n v="2549.75"/>
    <x v="0"/>
    <x v="1"/>
    <s v="Monthly"/>
  </r>
  <r>
    <d v="2023-08-28T00:00:00"/>
    <x v="7"/>
    <x v="0"/>
    <s v="Quanta Sphere Tech"/>
    <s v="Company"/>
    <x v="4"/>
    <x v="2"/>
    <x v="3"/>
    <n v="7369"/>
    <n v="0.25"/>
    <n v="1842.25"/>
    <x v="0"/>
    <x v="0"/>
    <s v="Bi Annual"/>
  </r>
  <r>
    <d v="2023-08-29T00:00:00"/>
    <x v="7"/>
    <x v="0"/>
    <s v="Luminex Global"/>
    <s v="Company"/>
    <x v="4"/>
    <x v="2"/>
    <x v="1"/>
    <n v="5698"/>
    <n v="0.25"/>
    <n v="1424.5"/>
    <x v="0"/>
    <x v="2"/>
    <s v="Monthly"/>
  </r>
  <r>
    <d v="2023-08-30T00:00:00"/>
    <x v="7"/>
    <x v="0"/>
    <s v="Zephyr Industries"/>
    <s v="Company"/>
    <x v="0"/>
    <x v="0"/>
    <x v="2"/>
    <n v="5938"/>
    <n v="0.3"/>
    <n v="1781.3999999999999"/>
    <x v="0"/>
    <x v="0"/>
    <s v="Quarterly"/>
  </r>
  <r>
    <d v="2023-08-30T00:00:00"/>
    <x v="7"/>
    <x v="0"/>
    <s v="Jamal Al Maktoum"/>
    <s v="Individual"/>
    <x v="4"/>
    <x v="2"/>
    <x v="3"/>
    <n v="6844"/>
    <n v="0.25"/>
    <n v="1711"/>
    <x v="0"/>
    <x v="2"/>
    <s v="Monthly"/>
  </r>
  <r>
    <d v="2023-08-30T00:00:00"/>
    <x v="7"/>
    <x v="0"/>
    <s v="Omar Ali"/>
    <s v="Individual"/>
    <x v="4"/>
    <x v="2"/>
    <x v="4"/>
    <n v="6002"/>
    <n v="0.25"/>
    <n v="1500.5"/>
    <x v="0"/>
    <x v="1"/>
    <s v="Monthly"/>
  </r>
  <r>
    <d v="2023-08-31T00:00:00"/>
    <x v="7"/>
    <x v="0"/>
    <s v="Altura Networks"/>
    <s v="Company"/>
    <x v="4"/>
    <x v="2"/>
    <x v="2"/>
    <n v="6511"/>
    <n v="0.25"/>
    <n v="1627.75"/>
    <x v="0"/>
    <x v="1"/>
    <s v="Quarterly"/>
  </r>
  <r>
    <d v="2023-09-01T00:00:00"/>
    <x v="8"/>
    <x v="0"/>
    <s v="Ahmed Yousuf"/>
    <s v="Individual"/>
    <x v="1"/>
    <x v="0"/>
    <x v="3"/>
    <n v="5417"/>
    <n v="0.25"/>
    <n v="1354.25"/>
    <x v="0"/>
    <x v="1"/>
    <s v="Quarterly"/>
  </r>
  <r>
    <d v="2023-09-01T00:00:00"/>
    <x v="8"/>
    <x v="0"/>
    <s v="Rania Omar"/>
    <s v="Individual"/>
    <x v="0"/>
    <x v="0"/>
    <x v="4"/>
    <n v="7304"/>
    <n v="0.3"/>
    <n v="2191.1999999999998"/>
    <x v="0"/>
    <x v="2"/>
    <s v="Annual"/>
  </r>
  <r>
    <d v="2023-09-03T00:00:00"/>
    <x v="8"/>
    <x v="0"/>
    <s v="Rania Omar"/>
    <s v="Individual"/>
    <x v="2"/>
    <x v="1"/>
    <x v="3"/>
    <n v="7582"/>
    <n v="0.4"/>
    <n v="3032.8"/>
    <x v="0"/>
    <x v="2"/>
    <s v="Quarterly"/>
  </r>
  <r>
    <d v="2023-09-03T00:00:00"/>
    <x v="8"/>
    <x v="0"/>
    <s v="Mariam Al Shamsi"/>
    <s v="Individual"/>
    <x v="1"/>
    <x v="0"/>
    <x v="1"/>
    <n v="6696"/>
    <n v="0.25"/>
    <n v="1674"/>
    <x v="1"/>
    <x v="1"/>
    <s v="Quarterly"/>
  </r>
  <r>
    <d v="2023-09-05T00:00:00"/>
    <x v="8"/>
    <x v="0"/>
    <s v="Altura Networks"/>
    <s v="Company"/>
    <x v="4"/>
    <x v="2"/>
    <x v="3"/>
    <n v="6406"/>
    <n v="0.25"/>
    <n v="1601.5"/>
    <x v="0"/>
    <x v="1"/>
    <s v="Annual"/>
  </r>
  <r>
    <d v="2023-09-05T00:00:00"/>
    <x v="8"/>
    <x v="0"/>
    <s v="Zephyr Industries"/>
    <s v="Company"/>
    <x v="1"/>
    <x v="0"/>
    <x v="4"/>
    <n v="7205"/>
    <n v="0.25"/>
    <n v="1801.25"/>
    <x v="1"/>
    <x v="1"/>
    <s v="Quarterly"/>
  </r>
  <r>
    <d v="2023-09-06T00:00:00"/>
    <x v="8"/>
    <x v="0"/>
    <s v="Vantoro Enterprises"/>
    <s v="Company"/>
    <x v="3"/>
    <x v="1"/>
    <x v="4"/>
    <n v="7727"/>
    <n v="0.35"/>
    <n v="2704.45"/>
    <x v="0"/>
    <x v="2"/>
    <s v="Quarterly"/>
  </r>
  <r>
    <d v="2023-09-07T00:00:00"/>
    <x v="8"/>
    <x v="0"/>
    <s v="Laila Al Mulla"/>
    <s v="Individual"/>
    <x v="0"/>
    <x v="0"/>
    <x v="4"/>
    <n v="5416"/>
    <n v="0.3"/>
    <n v="1624.8"/>
    <x v="0"/>
    <x v="1"/>
    <s v="Annual"/>
  </r>
  <r>
    <d v="2023-09-08T00:00:00"/>
    <x v="8"/>
    <x v="0"/>
    <s v="Luminex Global"/>
    <s v="Company"/>
    <x v="1"/>
    <x v="0"/>
    <x v="3"/>
    <n v="7738"/>
    <n v="0.25"/>
    <n v="1934.5"/>
    <x v="0"/>
    <x v="1"/>
    <s v="Quarterly"/>
  </r>
  <r>
    <d v="2023-09-12T00:00:00"/>
    <x v="8"/>
    <x v="0"/>
    <s v="Layla Al Dhanhani"/>
    <s v="Individual"/>
    <x v="3"/>
    <x v="1"/>
    <x v="2"/>
    <n v="7487"/>
    <n v="0.35"/>
    <n v="2620.4499999999998"/>
    <x v="0"/>
    <x v="2"/>
    <s v="Annual"/>
  </r>
  <r>
    <d v="2023-09-12T00:00:00"/>
    <x v="8"/>
    <x v="0"/>
    <s v="Rania Omar"/>
    <s v="Individual"/>
    <x v="0"/>
    <x v="0"/>
    <x v="2"/>
    <n v="6985"/>
    <n v="0.3"/>
    <n v="2095.5"/>
    <x v="1"/>
    <x v="0"/>
    <s v="Quarterly"/>
  </r>
  <r>
    <d v="2023-09-13T00:00:00"/>
    <x v="8"/>
    <x v="0"/>
    <s v="Laila Al Mulla"/>
    <s v="Individual"/>
    <x v="4"/>
    <x v="2"/>
    <x v="3"/>
    <n v="7326"/>
    <n v="0.25"/>
    <n v="1831.5"/>
    <x v="1"/>
    <x v="0"/>
    <s v="Monthly"/>
  </r>
  <r>
    <d v="2023-09-15T00:00:00"/>
    <x v="8"/>
    <x v="0"/>
    <s v="InfiNova Technologies"/>
    <s v="Company"/>
    <x v="4"/>
    <x v="2"/>
    <x v="3"/>
    <n v="6465"/>
    <n v="0.25"/>
    <n v="1616.25"/>
    <x v="0"/>
    <x v="0"/>
    <s v="Quarterly"/>
  </r>
  <r>
    <d v="2023-09-20T00:00:00"/>
    <x v="8"/>
    <x v="0"/>
    <s v="Nexa Core"/>
    <s v="Company"/>
    <x v="1"/>
    <x v="0"/>
    <x v="0"/>
    <n v="6603"/>
    <n v="0.25"/>
    <n v="1650.75"/>
    <x v="1"/>
    <x v="2"/>
    <s v="Bi Annual"/>
  </r>
  <r>
    <d v="2023-09-22T00:00:00"/>
    <x v="8"/>
    <x v="0"/>
    <s v="Synergenix Labs"/>
    <s v="Company"/>
    <x v="3"/>
    <x v="1"/>
    <x v="1"/>
    <n v="5676"/>
    <n v="0.35"/>
    <n v="1986.6"/>
    <x v="1"/>
    <x v="1"/>
    <s v="Annual"/>
  </r>
  <r>
    <d v="2023-09-22T00:00:00"/>
    <x v="8"/>
    <x v="0"/>
    <s v="Basma Nasser"/>
    <s v="Individual"/>
    <x v="1"/>
    <x v="0"/>
    <x v="2"/>
    <n v="6258"/>
    <n v="0.25"/>
    <n v="1564.5"/>
    <x v="1"/>
    <x v="1"/>
    <s v="Monthly"/>
  </r>
  <r>
    <d v="2023-09-26T00:00:00"/>
    <x v="8"/>
    <x v="0"/>
    <s v="Quanta Sphere Tech"/>
    <s v="Company"/>
    <x v="4"/>
    <x v="2"/>
    <x v="3"/>
    <n v="7890"/>
    <n v="0.25"/>
    <n v="1972.5"/>
    <x v="0"/>
    <x v="2"/>
    <s v="Monthly"/>
  </r>
  <r>
    <d v="2023-09-26T00:00:00"/>
    <x v="8"/>
    <x v="0"/>
    <s v="Octavium Digital"/>
    <s v="Company"/>
    <x v="1"/>
    <x v="0"/>
    <x v="1"/>
    <n v="7460"/>
    <n v="0.25"/>
    <n v="1865"/>
    <x v="1"/>
    <x v="1"/>
    <s v="Quarterly"/>
  </r>
  <r>
    <d v="2023-09-28T00:00:00"/>
    <x v="8"/>
    <x v="0"/>
    <s v="Fatima Saeed"/>
    <s v="Individual"/>
    <x v="1"/>
    <x v="0"/>
    <x v="1"/>
    <n v="6782"/>
    <n v="0.25"/>
    <n v="1695.5"/>
    <x v="0"/>
    <x v="1"/>
    <s v="Annual"/>
  </r>
  <r>
    <d v="2023-09-30T00:00:00"/>
    <x v="8"/>
    <x v="0"/>
    <s v="Vantoro Enterprises"/>
    <s v="Company"/>
    <x v="1"/>
    <x v="0"/>
    <x v="4"/>
    <n v="7220"/>
    <n v="0.25"/>
    <n v="1805"/>
    <x v="0"/>
    <x v="2"/>
    <s v="Monthly"/>
  </r>
  <r>
    <d v="2023-10-01T00:00:00"/>
    <x v="9"/>
    <x v="0"/>
    <s v="Luminex Global"/>
    <s v="Company"/>
    <x v="1"/>
    <x v="0"/>
    <x v="2"/>
    <n v="6768"/>
    <n v="0.25"/>
    <n v="1692"/>
    <x v="0"/>
    <x v="2"/>
    <s v="Monthly"/>
  </r>
  <r>
    <d v="2023-10-02T00:00:00"/>
    <x v="9"/>
    <x v="0"/>
    <s v="Nexa Core"/>
    <s v="Company"/>
    <x v="4"/>
    <x v="2"/>
    <x v="3"/>
    <n v="6336"/>
    <n v="0.25"/>
    <n v="1584"/>
    <x v="1"/>
    <x v="1"/>
    <s v="Quarterly"/>
  </r>
  <r>
    <d v="2023-10-04T00:00:00"/>
    <x v="9"/>
    <x v="0"/>
    <s v="Rania Omar"/>
    <s v="Individual"/>
    <x v="1"/>
    <x v="0"/>
    <x v="2"/>
    <n v="6188"/>
    <n v="0.25"/>
    <n v="1547"/>
    <x v="0"/>
    <x v="2"/>
    <s v="Monthly"/>
  </r>
  <r>
    <d v="2023-10-05T00:00:00"/>
    <x v="9"/>
    <x v="0"/>
    <s v="Yousuf Al Marri"/>
    <s v="Individual"/>
    <x v="3"/>
    <x v="1"/>
    <x v="3"/>
    <n v="5157"/>
    <n v="0.35"/>
    <n v="1804.9499999999998"/>
    <x v="1"/>
    <x v="0"/>
    <s v="Monthly"/>
  </r>
  <r>
    <d v="2023-10-06T00:00:00"/>
    <x v="9"/>
    <x v="0"/>
    <s v="Zayed Al Nuaimi"/>
    <s v="Individual"/>
    <x v="4"/>
    <x v="2"/>
    <x v="0"/>
    <n v="6650"/>
    <n v="0.25"/>
    <n v="1662.5"/>
    <x v="0"/>
    <x v="0"/>
    <s v="Quarterly"/>
  </r>
  <r>
    <d v="2023-10-08T00:00:00"/>
    <x v="9"/>
    <x v="0"/>
    <s v="Aetherion Systems"/>
    <s v="Company"/>
    <x v="4"/>
    <x v="2"/>
    <x v="4"/>
    <n v="5451"/>
    <n v="0.25"/>
    <n v="1362.75"/>
    <x v="0"/>
    <x v="2"/>
    <s v="Annual"/>
  </r>
  <r>
    <d v="2023-10-10T00:00:00"/>
    <x v="9"/>
    <x v="0"/>
    <s v="Saeed Al Saeed"/>
    <s v="Individual"/>
    <x v="4"/>
    <x v="2"/>
    <x v="2"/>
    <n v="7652"/>
    <n v="0.25"/>
    <n v="1913"/>
    <x v="1"/>
    <x v="2"/>
    <s v="Annual"/>
  </r>
  <r>
    <d v="2023-10-11T00:00:00"/>
    <x v="9"/>
    <x v="0"/>
    <s v="Saeed Al Saeed"/>
    <s v="Individual"/>
    <x v="2"/>
    <x v="1"/>
    <x v="1"/>
    <n v="6212"/>
    <n v="0.4"/>
    <n v="2484.8000000000002"/>
    <x v="0"/>
    <x v="0"/>
    <s v="Bi Annual"/>
  </r>
  <r>
    <d v="2023-10-12T00:00:00"/>
    <x v="9"/>
    <x v="0"/>
    <s v="Octavium Digital"/>
    <s v="Company"/>
    <x v="0"/>
    <x v="0"/>
    <x v="3"/>
    <n v="6510"/>
    <n v="0.3"/>
    <n v="1953"/>
    <x v="1"/>
    <x v="0"/>
    <s v="Bi Annual"/>
  </r>
  <r>
    <d v="2023-10-13T00:00:00"/>
    <x v="9"/>
    <x v="0"/>
    <s v="Tariq Al Zahrani"/>
    <s v="Individual"/>
    <x v="4"/>
    <x v="2"/>
    <x v="0"/>
    <n v="6658"/>
    <n v="0.25"/>
    <n v="1664.5"/>
    <x v="0"/>
    <x v="2"/>
    <s v="Quarterly"/>
  </r>
  <r>
    <d v="2023-10-16T00:00:00"/>
    <x v="9"/>
    <x v="0"/>
    <s v="Saeed Al Saeed"/>
    <s v="Individual"/>
    <x v="1"/>
    <x v="0"/>
    <x v="1"/>
    <n v="5881"/>
    <n v="0.25"/>
    <n v="1470.25"/>
    <x v="1"/>
    <x v="1"/>
    <s v="Annual"/>
  </r>
  <r>
    <d v="2023-10-21T00:00:00"/>
    <x v="9"/>
    <x v="0"/>
    <s v="Octavium Digital"/>
    <s v="Company"/>
    <x v="1"/>
    <x v="0"/>
    <x v="2"/>
    <n v="5401"/>
    <n v="0.25"/>
    <n v="1350.25"/>
    <x v="1"/>
    <x v="1"/>
    <s v="Quarterly"/>
  </r>
  <r>
    <d v="2023-10-21T00:00:00"/>
    <x v="9"/>
    <x v="0"/>
    <s v="Stratoscope"/>
    <s v="Company"/>
    <x v="2"/>
    <x v="1"/>
    <x v="0"/>
    <n v="5510"/>
    <n v="0.4"/>
    <n v="2204"/>
    <x v="1"/>
    <x v="0"/>
    <s v="Annual"/>
  </r>
  <r>
    <d v="2023-10-22T00:00:00"/>
    <x v="9"/>
    <x v="0"/>
    <s v="Ahmed Yousuf"/>
    <s v="Individual"/>
    <x v="0"/>
    <x v="0"/>
    <x v="0"/>
    <n v="5127"/>
    <n v="0.3"/>
    <n v="1538.1"/>
    <x v="0"/>
    <x v="0"/>
    <s v="Annual"/>
  </r>
  <r>
    <d v="2023-10-25T00:00:00"/>
    <x v="9"/>
    <x v="0"/>
    <s v="Stratoscope"/>
    <s v="Company"/>
    <x v="0"/>
    <x v="0"/>
    <x v="2"/>
    <n v="6832"/>
    <n v="0.3"/>
    <n v="2049.6"/>
    <x v="1"/>
    <x v="1"/>
    <s v="Monthly"/>
  </r>
  <r>
    <d v="2023-10-27T00:00:00"/>
    <x v="9"/>
    <x v="0"/>
    <s v="Quanta Sphere Tech"/>
    <s v="Company"/>
    <x v="0"/>
    <x v="0"/>
    <x v="2"/>
    <n v="7570"/>
    <n v="0.3"/>
    <n v="2271"/>
    <x v="0"/>
    <x v="0"/>
    <s v="Quarterly"/>
  </r>
  <r>
    <d v="2023-10-28T00:00:00"/>
    <x v="9"/>
    <x v="0"/>
    <s v="InfiNova Technologies"/>
    <s v="Company"/>
    <x v="0"/>
    <x v="0"/>
    <x v="2"/>
    <n v="5494"/>
    <n v="0.3"/>
    <n v="1648.2"/>
    <x v="0"/>
    <x v="0"/>
    <s v="Bi Annual"/>
  </r>
  <r>
    <d v="2023-10-29T00:00:00"/>
    <x v="9"/>
    <x v="0"/>
    <s v="Saeed Al Saeed"/>
    <s v="Individual"/>
    <x v="3"/>
    <x v="1"/>
    <x v="3"/>
    <n v="6452"/>
    <n v="0.35"/>
    <n v="2258.1999999999998"/>
    <x v="0"/>
    <x v="1"/>
    <s v="Bi Annual"/>
  </r>
  <r>
    <d v="2023-10-31T00:00:00"/>
    <x v="9"/>
    <x v="0"/>
    <s v="Aetherion Systems"/>
    <s v="Company"/>
    <x v="0"/>
    <x v="0"/>
    <x v="3"/>
    <n v="5529"/>
    <n v="0.3"/>
    <n v="1658.7"/>
    <x v="1"/>
    <x v="2"/>
    <s v="Quarterly"/>
  </r>
  <r>
    <d v="2023-10-31T00:00:00"/>
    <x v="9"/>
    <x v="0"/>
    <s v="Layla Al Dhanhani"/>
    <s v="Individual"/>
    <x v="4"/>
    <x v="2"/>
    <x v="2"/>
    <n v="6344"/>
    <n v="0.25"/>
    <n v="1586"/>
    <x v="0"/>
    <x v="1"/>
    <s v="Bi Annual"/>
  </r>
  <r>
    <d v="2023-11-02T00:00:00"/>
    <x v="10"/>
    <x v="0"/>
    <s v="Octavium Digital"/>
    <s v="Company"/>
    <x v="2"/>
    <x v="1"/>
    <x v="3"/>
    <n v="5826"/>
    <n v="0.4"/>
    <n v="2330.4"/>
    <x v="0"/>
    <x v="0"/>
    <s v="Annual"/>
  </r>
  <r>
    <d v="2023-11-04T00:00:00"/>
    <x v="10"/>
    <x v="0"/>
    <s v="Zephyr Industries"/>
    <s v="Company"/>
    <x v="2"/>
    <x v="1"/>
    <x v="4"/>
    <n v="5965"/>
    <n v="0.4"/>
    <n v="2386"/>
    <x v="0"/>
    <x v="2"/>
    <s v="Annual"/>
  </r>
  <r>
    <d v="2023-11-04T00:00:00"/>
    <x v="10"/>
    <x v="0"/>
    <s v="Octavium Digital"/>
    <s v="Company"/>
    <x v="3"/>
    <x v="1"/>
    <x v="3"/>
    <n v="7621"/>
    <n v="0.35"/>
    <n v="2667.35"/>
    <x v="0"/>
    <x v="2"/>
    <s v="Bi Annual"/>
  </r>
  <r>
    <d v="2023-11-07T00:00:00"/>
    <x v="10"/>
    <x v="0"/>
    <s v="InfiNova Technologies"/>
    <s v="Company"/>
    <x v="1"/>
    <x v="0"/>
    <x v="3"/>
    <n v="6591"/>
    <n v="0.25"/>
    <n v="1647.75"/>
    <x v="1"/>
    <x v="2"/>
    <s v="Bi Annual"/>
  </r>
  <r>
    <d v="2023-11-07T00:00:00"/>
    <x v="10"/>
    <x v="0"/>
    <s v="Rania Omar"/>
    <s v="Individual"/>
    <x v="3"/>
    <x v="1"/>
    <x v="1"/>
    <n v="5713"/>
    <n v="0.35"/>
    <n v="1999.55"/>
    <x v="0"/>
    <x v="0"/>
    <s v="Monthly"/>
  </r>
  <r>
    <d v="2023-11-09T00:00:00"/>
    <x v="10"/>
    <x v="0"/>
    <s v="Synergenix Labs"/>
    <s v="Company"/>
    <x v="4"/>
    <x v="2"/>
    <x v="2"/>
    <n v="7690"/>
    <n v="0.25"/>
    <n v="1922.5"/>
    <x v="0"/>
    <x v="2"/>
    <s v="Monthly"/>
  </r>
  <r>
    <d v="2023-11-11T00:00:00"/>
    <x v="10"/>
    <x v="0"/>
    <s v="Jamal Al Maktoum"/>
    <s v="Individual"/>
    <x v="0"/>
    <x v="0"/>
    <x v="4"/>
    <n v="6501"/>
    <n v="0.3"/>
    <n v="1950.3"/>
    <x v="0"/>
    <x v="1"/>
    <s v="Monthly"/>
  </r>
  <r>
    <d v="2023-11-13T00:00:00"/>
    <x v="10"/>
    <x v="0"/>
    <s v="Noura Rashid"/>
    <s v="Individual"/>
    <x v="2"/>
    <x v="1"/>
    <x v="3"/>
    <n v="7420"/>
    <n v="0.4"/>
    <n v="2968"/>
    <x v="0"/>
    <x v="0"/>
    <s v="Bi Annual"/>
  </r>
  <r>
    <d v="2023-11-13T00:00:00"/>
    <x v="10"/>
    <x v="0"/>
    <s v="Omar Ali"/>
    <s v="Individual"/>
    <x v="2"/>
    <x v="1"/>
    <x v="2"/>
    <n v="7019"/>
    <n v="0.4"/>
    <n v="2807.6000000000004"/>
    <x v="0"/>
    <x v="2"/>
    <s v="Annual"/>
  </r>
  <r>
    <d v="2023-11-14T00:00:00"/>
    <x v="10"/>
    <x v="0"/>
    <s v="Sarah Ahmed"/>
    <s v="Individual"/>
    <x v="4"/>
    <x v="2"/>
    <x v="2"/>
    <n v="5842"/>
    <n v="0.25"/>
    <n v="1460.5"/>
    <x v="0"/>
    <x v="1"/>
    <s v="Quarterly"/>
  </r>
  <r>
    <d v="2023-11-15T00:00:00"/>
    <x v="10"/>
    <x v="0"/>
    <s v="Basma Nasser"/>
    <s v="Individual"/>
    <x v="4"/>
    <x v="2"/>
    <x v="2"/>
    <n v="5206"/>
    <n v="0.25"/>
    <n v="1301.5"/>
    <x v="0"/>
    <x v="1"/>
    <s v="Bi Annual"/>
  </r>
  <r>
    <d v="2023-11-16T00:00:00"/>
    <x v="10"/>
    <x v="0"/>
    <s v="Quanta Sphere Tech"/>
    <s v="Company"/>
    <x v="3"/>
    <x v="1"/>
    <x v="2"/>
    <n v="5668"/>
    <n v="0.35"/>
    <n v="1983.8"/>
    <x v="1"/>
    <x v="2"/>
    <s v="Annual"/>
  </r>
  <r>
    <d v="2023-11-21T00:00:00"/>
    <x v="10"/>
    <x v="0"/>
    <s v="Vantoro Enterprises"/>
    <s v="Company"/>
    <x v="3"/>
    <x v="1"/>
    <x v="2"/>
    <n v="6568"/>
    <n v="0.35"/>
    <n v="2298.7999999999997"/>
    <x v="0"/>
    <x v="2"/>
    <s v="Bi Annual"/>
  </r>
  <r>
    <d v="2023-11-21T00:00:00"/>
    <x v="10"/>
    <x v="0"/>
    <s v="Fatima Saeed"/>
    <s v="Individual"/>
    <x v="1"/>
    <x v="0"/>
    <x v="3"/>
    <n v="6041"/>
    <n v="0.25"/>
    <n v="1510.25"/>
    <x v="1"/>
    <x v="1"/>
    <s v="Quarterly"/>
  </r>
  <r>
    <d v="2023-11-24T00:00:00"/>
    <x v="10"/>
    <x v="0"/>
    <s v="Fatima Saeed"/>
    <s v="Individual"/>
    <x v="0"/>
    <x v="0"/>
    <x v="3"/>
    <n v="5552"/>
    <n v="0.3"/>
    <n v="1665.6"/>
    <x v="0"/>
    <x v="2"/>
    <s v="Bi Annual"/>
  </r>
  <r>
    <d v="2023-11-25T00:00:00"/>
    <x v="10"/>
    <x v="0"/>
    <s v="Altura Networks"/>
    <s v="Company"/>
    <x v="1"/>
    <x v="0"/>
    <x v="4"/>
    <n v="5794"/>
    <n v="0.25"/>
    <n v="1448.5"/>
    <x v="0"/>
    <x v="1"/>
    <s v="Quarterly"/>
  </r>
  <r>
    <d v="2023-11-26T00:00:00"/>
    <x v="10"/>
    <x v="0"/>
    <s v="Omar Ali"/>
    <s v="Individual"/>
    <x v="0"/>
    <x v="0"/>
    <x v="1"/>
    <n v="6214"/>
    <n v="0.3"/>
    <n v="1864.1999999999998"/>
    <x v="0"/>
    <x v="2"/>
    <s v="Monthly"/>
  </r>
  <r>
    <d v="2023-11-27T00:00:00"/>
    <x v="10"/>
    <x v="0"/>
    <s v="Synergenix Labs"/>
    <s v="Company"/>
    <x v="1"/>
    <x v="0"/>
    <x v="3"/>
    <n v="7505"/>
    <n v="0.25"/>
    <n v="1876.25"/>
    <x v="0"/>
    <x v="2"/>
    <s v="Monthly"/>
  </r>
  <r>
    <d v="2023-11-28T00:00:00"/>
    <x v="10"/>
    <x v="0"/>
    <s v="Solvium Solutions"/>
    <s v="Company"/>
    <x v="4"/>
    <x v="2"/>
    <x v="2"/>
    <n v="7453"/>
    <n v="0.25"/>
    <n v="1863.25"/>
    <x v="1"/>
    <x v="1"/>
    <s v="Bi Annual"/>
  </r>
  <r>
    <d v="2023-11-30T00:00:00"/>
    <x v="10"/>
    <x v="0"/>
    <s v="Layla Al Dhanhani"/>
    <s v="Individual"/>
    <x v="4"/>
    <x v="2"/>
    <x v="4"/>
    <n v="5939"/>
    <n v="0.25"/>
    <n v="1484.75"/>
    <x v="1"/>
    <x v="1"/>
    <s v="Monthly"/>
  </r>
  <r>
    <d v="2023-12-04T00:00:00"/>
    <x v="11"/>
    <x v="0"/>
    <s v="Vantoro Enterprises"/>
    <s v="Company"/>
    <x v="1"/>
    <x v="0"/>
    <x v="2"/>
    <n v="5833"/>
    <n v="0.25"/>
    <n v="1458.25"/>
    <x v="0"/>
    <x v="0"/>
    <s v="Annual"/>
  </r>
  <r>
    <d v="2023-12-04T00:00:00"/>
    <x v="11"/>
    <x v="0"/>
    <s v="Omar Ali"/>
    <s v="Individual"/>
    <x v="3"/>
    <x v="1"/>
    <x v="4"/>
    <n v="6702"/>
    <n v="0.35"/>
    <n v="2345.6999999999998"/>
    <x v="0"/>
    <x v="0"/>
    <s v="Bi Annual"/>
  </r>
  <r>
    <d v="2023-12-05T00:00:00"/>
    <x v="11"/>
    <x v="0"/>
    <s v="Zayed Al Nuaimi"/>
    <s v="Individual"/>
    <x v="1"/>
    <x v="0"/>
    <x v="1"/>
    <n v="7465"/>
    <n v="0.25"/>
    <n v="1866.25"/>
    <x v="0"/>
    <x v="0"/>
    <s v="Bi Annual"/>
  </r>
  <r>
    <d v="2023-12-14T00:00:00"/>
    <x v="11"/>
    <x v="0"/>
    <s v="Mona Al Humaidi"/>
    <s v="Individual"/>
    <x v="2"/>
    <x v="1"/>
    <x v="4"/>
    <n v="6348"/>
    <n v="0.4"/>
    <n v="2539.2000000000003"/>
    <x v="1"/>
    <x v="1"/>
    <s v="Annual"/>
  </r>
  <r>
    <d v="2023-12-14T00:00:00"/>
    <x v="11"/>
    <x v="0"/>
    <s v="Saeed Al Saeed"/>
    <s v="Individual"/>
    <x v="4"/>
    <x v="2"/>
    <x v="3"/>
    <n v="6799"/>
    <n v="0.25"/>
    <n v="1699.75"/>
    <x v="0"/>
    <x v="0"/>
    <s v="Quarterly"/>
  </r>
  <r>
    <d v="2023-12-14T00:00:00"/>
    <x v="11"/>
    <x v="0"/>
    <s v="Hanan Al Khatri"/>
    <s v="Individual"/>
    <x v="1"/>
    <x v="0"/>
    <x v="3"/>
    <n v="7574"/>
    <n v="0.25"/>
    <n v="1893.5"/>
    <x v="1"/>
    <x v="1"/>
    <s v="Monthly"/>
  </r>
  <r>
    <d v="2023-12-15T00:00:00"/>
    <x v="11"/>
    <x v="0"/>
    <s v="Mariam Al Shamsi"/>
    <s v="Individual"/>
    <x v="3"/>
    <x v="1"/>
    <x v="0"/>
    <n v="6208"/>
    <n v="0.35"/>
    <n v="2172.7999999999997"/>
    <x v="0"/>
    <x v="0"/>
    <s v="Annual"/>
  </r>
  <r>
    <d v="2023-12-16T00:00:00"/>
    <x v="11"/>
    <x v="0"/>
    <s v="Zephyr Industries"/>
    <s v="Company"/>
    <x v="1"/>
    <x v="0"/>
    <x v="3"/>
    <n v="7689"/>
    <n v="0.25"/>
    <n v="1922.25"/>
    <x v="0"/>
    <x v="1"/>
    <s v="Monthly"/>
  </r>
  <r>
    <d v="2023-12-17T00:00:00"/>
    <x v="11"/>
    <x v="0"/>
    <s v="Stratoscope"/>
    <s v="Company"/>
    <x v="2"/>
    <x v="1"/>
    <x v="2"/>
    <n v="6062"/>
    <n v="0.4"/>
    <n v="2424.8000000000002"/>
    <x v="1"/>
    <x v="0"/>
    <s v="Annual"/>
  </r>
  <r>
    <d v="2023-12-18T00:00:00"/>
    <x v="11"/>
    <x v="0"/>
    <s v="Nexa Core"/>
    <s v="Company"/>
    <x v="1"/>
    <x v="0"/>
    <x v="2"/>
    <n v="6387"/>
    <n v="0.25"/>
    <n v="1596.75"/>
    <x v="1"/>
    <x v="2"/>
    <s v="Monthly"/>
  </r>
  <r>
    <d v="2023-12-19T00:00:00"/>
    <x v="11"/>
    <x v="0"/>
    <s v="Stratoscope"/>
    <s v="Company"/>
    <x v="4"/>
    <x v="2"/>
    <x v="4"/>
    <n v="5222"/>
    <n v="0.25"/>
    <n v="1305.5"/>
    <x v="1"/>
    <x v="0"/>
    <s v="Quarterly"/>
  </r>
  <r>
    <d v="2023-12-19T00:00:00"/>
    <x v="11"/>
    <x v="0"/>
    <s v="Nexa Core"/>
    <s v="Company"/>
    <x v="4"/>
    <x v="2"/>
    <x v="4"/>
    <n v="5570"/>
    <n v="0.25"/>
    <n v="1392.5"/>
    <x v="0"/>
    <x v="1"/>
    <s v="Bi Annual"/>
  </r>
  <r>
    <d v="2023-12-19T00:00:00"/>
    <x v="11"/>
    <x v="0"/>
    <s v="Sarah Ahmed"/>
    <s v="Individual"/>
    <x v="2"/>
    <x v="1"/>
    <x v="3"/>
    <n v="7799"/>
    <n v="0.4"/>
    <n v="3119.6000000000004"/>
    <x v="1"/>
    <x v="1"/>
    <s v="Monthly"/>
  </r>
  <r>
    <d v="2023-12-20T00:00:00"/>
    <x v="11"/>
    <x v="0"/>
    <s v="Quanta Sphere Tech"/>
    <s v="Company"/>
    <x v="0"/>
    <x v="0"/>
    <x v="0"/>
    <n v="7853"/>
    <n v="0.3"/>
    <n v="2355.9"/>
    <x v="0"/>
    <x v="2"/>
    <s v="Annual"/>
  </r>
  <r>
    <d v="2023-12-20T00:00:00"/>
    <x v="11"/>
    <x v="0"/>
    <s v="Mariam Al Shamsi"/>
    <s v="Individual"/>
    <x v="3"/>
    <x v="1"/>
    <x v="2"/>
    <n v="6776"/>
    <n v="0.35"/>
    <n v="2371.6"/>
    <x v="1"/>
    <x v="0"/>
    <s v="Quarterly"/>
  </r>
  <r>
    <d v="2023-12-22T00:00:00"/>
    <x v="11"/>
    <x v="0"/>
    <s v="Sami Al Shamsi"/>
    <s v="Individual"/>
    <x v="4"/>
    <x v="2"/>
    <x v="2"/>
    <n v="7306"/>
    <n v="0.25"/>
    <n v="1826.5"/>
    <x v="0"/>
    <x v="0"/>
    <s v="Monthly"/>
  </r>
  <r>
    <d v="2023-12-22T00:00:00"/>
    <x v="11"/>
    <x v="0"/>
    <s v="Saeed Al Saeed"/>
    <s v="Individual"/>
    <x v="0"/>
    <x v="0"/>
    <x v="1"/>
    <n v="5882"/>
    <n v="0.3"/>
    <n v="1764.6"/>
    <x v="1"/>
    <x v="0"/>
    <s v="Monthly"/>
  </r>
  <r>
    <d v="2023-12-23T00:00:00"/>
    <x v="11"/>
    <x v="0"/>
    <s v="Zephyr Industries"/>
    <s v="Company"/>
    <x v="3"/>
    <x v="1"/>
    <x v="2"/>
    <n v="6336"/>
    <n v="0.35"/>
    <n v="2217.6"/>
    <x v="1"/>
    <x v="1"/>
    <s v="Bi Annual"/>
  </r>
  <r>
    <d v="2023-12-23T00:00:00"/>
    <x v="11"/>
    <x v="0"/>
    <s v="Zephyr Industries"/>
    <s v="Company"/>
    <x v="3"/>
    <x v="1"/>
    <x v="0"/>
    <n v="7642"/>
    <n v="0.35"/>
    <n v="2674.7"/>
    <x v="1"/>
    <x v="2"/>
    <s v="Quarterly"/>
  </r>
  <r>
    <d v="2023-12-27T00:00:00"/>
    <x v="11"/>
    <x v="0"/>
    <s v="Luminex Global"/>
    <s v="Company"/>
    <x v="1"/>
    <x v="0"/>
    <x v="2"/>
    <n v="5260"/>
    <n v="0.25"/>
    <n v="1315"/>
    <x v="0"/>
    <x v="1"/>
    <s v="Bi Annual"/>
  </r>
  <r>
    <d v="2024-01-03T00:00:00"/>
    <x v="0"/>
    <x v="1"/>
    <s v="Octavium Digital"/>
    <s v="Company"/>
    <x v="3"/>
    <x v="1"/>
    <x v="3"/>
    <n v="5603"/>
    <n v="0.35"/>
    <n v="1961.05"/>
    <x v="1"/>
    <x v="0"/>
    <s v="Quarterly"/>
  </r>
  <r>
    <d v="2024-01-08T00:00:00"/>
    <x v="0"/>
    <x v="1"/>
    <s v="Noura Rashid"/>
    <s v="Individual"/>
    <x v="4"/>
    <x v="2"/>
    <x v="1"/>
    <n v="4422"/>
    <n v="0.25"/>
    <n v="1105.5"/>
    <x v="0"/>
    <x v="0"/>
    <s v="Bi Annual"/>
  </r>
  <r>
    <d v="2024-01-08T00:00:00"/>
    <x v="0"/>
    <x v="1"/>
    <s v="Fatima Saeed"/>
    <s v="Individual"/>
    <x v="4"/>
    <x v="2"/>
    <x v="2"/>
    <n v="5895"/>
    <n v="0.25"/>
    <n v="1473.75"/>
    <x v="1"/>
    <x v="0"/>
    <s v="Bi Annual"/>
  </r>
  <r>
    <d v="2024-01-10T00:00:00"/>
    <x v="0"/>
    <x v="1"/>
    <s v="Octavium Digital"/>
    <s v="Company"/>
    <x v="4"/>
    <x v="2"/>
    <x v="0"/>
    <n v="4287"/>
    <n v="0.25"/>
    <n v="1071.75"/>
    <x v="1"/>
    <x v="1"/>
    <s v="Bi Annual"/>
  </r>
  <r>
    <d v="2024-01-10T00:00:00"/>
    <x v="0"/>
    <x v="1"/>
    <s v="Ahmed Yousuf"/>
    <s v="Individual"/>
    <x v="2"/>
    <x v="1"/>
    <x v="4"/>
    <n v="4092"/>
    <n v="0.4"/>
    <n v="1636.8000000000002"/>
    <x v="0"/>
    <x v="2"/>
    <s v="Bi Annual"/>
  </r>
  <r>
    <d v="2024-01-11T00:00:00"/>
    <x v="0"/>
    <x v="1"/>
    <s v="Stratoscope"/>
    <s v="Company"/>
    <x v="1"/>
    <x v="0"/>
    <x v="2"/>
    <n v="4004"/>
    <n v="0.25"/>
    <n v="1001"/>
    <x v="0"/>
    <x v="1"/>
    <s v="Monthly"/>
  </r>
  <r>
    <d v="2024-01-11T00:00:00"/>
    <x v="0"/>
    <x v="1"/>
    <s v="Altura Networks"/>
    <s v="Company"/>
    <x v="0"/>
    <x v="0"/>
    <x v="2"/>
    <n v="5209"/>
    <n v="0.3"/>
    <n v="1562.7"/>
    <x v="1"/>
    <x v="2"/>
    <s v="Monthly"/>
  </r>
  <r>
    <d v="2024-01-12T00:00:00"/>
    <x v="0"/>
    <x v="1"/>
    <s v="Zephyr Industries"/>
    <s v="Company"/>
    <x v="4"/>
    <x v="2"/>
    <x v="3"/>
    <n v="6903"/>
    <n v="0.25"/>
    <n v="1725.75"/>
    <x v="1"/>
    <x v="2"/>
    <s v="Bi Annual"/>
  </r>
  <r>
    <d v="2024-01-15T00:00:00"/>
    <x v="0"/>
    <x v="1"/>
    <s v="Altura Networks"/>
    <s v="Company"/>
    <x v="2"/>
    <x v="1"/>
    <x v="1"/>
    <n v="6945"/>
    <n v="0.4"/>
    <n v="2778"/>
    <x v="0"/>
    <x v="0"/>
    <s v="Annual"/>
  </r>
  <r>
    <d v="2024-01-15T00:00:00"/>
    <x v="0"/>
    <x v="1"/>
    <s v="Luminex Global"/>
    <s v="Company"/>
    <x v="1"/>
    <x v="0"/>
    <x v="2"/>
    <n v="6330"/>
    <n v="0.25"/>
    <n v="1582.5"/>
    <x v="0"/>
    <x v="0"/>
    <s v="Monthly"/>
  </r>
  <r>
    <d v="2024-01-15T00:00:00"/>
    <x v="0"/>
    <x v="1"/>
    <s v="Hanan Al Khatri"/>
    <s v="Individual"/>
    <x v="3"/>
    <x v="1"/>
    <x v="0"/>
    <n v="3203"/>
    <n v="0.35"/>
    <n v="1121.05"/>
    <x v="0"/>
    <x v="0"/>
    <s v="Monthly"/>
  </r>
  <r>
    <d v="2024-01-16T00:00:00"/>
    <x v="0"/>
    <x v="1"/>
    <s v="Basma Nasser"/>
    <s v="Individual"/>
    <x v="1"/>
    <x v="0"/>
    <x v="2"/>
    <n v="6850"/>
    <n v="0.25"/>
    <n v="1712.5"/>
    <x v="0"/>
    <x v="0"/>
    <s v="Bi Annual"/>
  </r>
  <r>
    <d v="2024-01-19T00:00:00"/>
    <x v="0"/>
    <x v="1"/>
    <s v="Vantoro Enterprises"/>
    <s v="Company"/>
    <x v="1"/>
    <x v="0"/>
    <x v="0"/>
    <n v="5799"/>
    <n v="0.25"/>
    <n v="1449.75"/>
    <x v="1"/>
    <x v="1"/>
    <s v="Bi Annual"/>
  </r>
  <r>
    <d v="2024-01-25T00:00:00"/>
    <x v="0"/>
    <x v="1"/>
    <s v="Noura Rashid"/>
    <s v="Individual"/>
    <x v="1"/>
    <x v="0"/>
    <x v="2"/>
    <n v="5999"/>
    <n v="0.25"/>
    <n v="1499.75"/>
    <x v="1"/>
    <x v="1"/>
    <s v="Monthly"/>
  </r>
  <r>
    <d v="2024-01-28T00:00:00"/>
    <x v="0"/>
    <x v="1"/>
    <s v="Sami Al Shamsi"/>
    <s v="Individual"/>
    <x v="4"/>
    <x v="2"/>
    <x v="2"/>
    <n v="5251"/>
    <n v="0.25"/>
    <n v="1312.75"/>
    <x v="0"/>
    <x v="2"/>
    <s v="Monthly"/>
  </r>
  <r>
    <d v="2024-01-29T00:00:00"/>
    <x v="0"/>
    <x v="1"/>
    <s v="Solvium Solutions"/>
    <s v="Company"/>
    <x v="1"/>
    <x v="0"/>
    <x v="3"/>
    <n v="4086"/>
    <n v="0.25"/>
    <n v="1021.5"/>
    <x v="0"/>
    <x v="0"/>
    <s v="Monthly"/>
  </r>
  <r>
    <d v="2024-01-29T00:00:00"/>
    <x v="0"/>
    <x v="1"/>
    <s v="Hanan Al Khatri"/>
    <s v="Individual"/>
    <x v="3"/>
    <x v="1"/>
    <x v="3"/>
    <n v="6257"/>
    <n v="0.35"/>
    <n v="2189.9499999999998"/>
    <x v="1"/>
    <x v="1"/>
    <s v="Monthly"/>
  </r>
  <r>
    <d v="2024-01-29T00:00:00"/>
    <x v="0"/>
    <x v="1"/>
    <s v="Omar Ali"/>
    <s v="Individual"/>
    <x v="1"/>
    <x v="0"/>
    <x v="1"/>
    <n v="4346"/>
    <n v="0.25"/>
    <n v="1086.5"/>
    <x v="0"/>
    <x v="0"/>
    <s v="Bi Annual"/>
  </r>
  <r>
    <d v="2024-01-30T00:00:00"/>
    <x v="0"/>
    <x v="1"/>
    <s v="Yousuf Al Marri"/>
    <s v="Individual"/>
    <x v="4"/>
    <x v="2"/>
    <x v="0"/>
    <n v="5588"/>
    <n v="0.25"/>
    <n v="1397"/>
    <x v="1"/>
    <x v="2"/>
    <s v="Quarterly"/>
  </r>
  <r>
    <d v="2024-01-31T00:00:00"/>
    <x v="0"/>
    <x v="1"/>
    <s v="Nexa Core"/>
    <s v="Company"/>
    <x v="4"/>
    <x v="2"/>
    <x v="2"/>
    <n v="3328"/>
    <n v="0.25"/>
    <n v="832"/>
    <x v="1"/>
    <x v="1"/>
    <s v="Monthly"/>
  </r>
  <r>
    <d v="2024-02-02T00:00:00"/>
    <x v="1"/>
    <x v="1"/>
    <s v="Saeed Al Saeed"/>
    <s v="Individual"/>
    <x v="4"/>
    <x v="2"/>
    <x v="4"/>
    <n v="3708"/>
    <n v="0.25"/>
    <n v="927"/>
    <x v="1"/>
    <x v="0"/>
    <s v="Quarterly"/>
  </r>
  <r>
    <d v="2024-02-03T00:00:00"/>
    <x v="1"/>
    <x v="1"/>
    <s v="Altura Networks"/>
    <s v="Company"/>
    <x v="0"/>
    <x v="0"/>
    <x v="2"/>
    <n v="3786"/>
    <n v="0.3"/>
    <n v="1135.8"/>
    <x v="1"/>
    <x v="2"/>
    <s v="Bi Annual"/>
  </r>
  <r>
    <d v="2024-02-06T00:00:00"/>
    <x v="1"/>
    <x v="1"/>
    <s v="InfiNova Technologies"/>
    <s v="Company"/>
    <x v="0"/>
    <x v="0"/>
    <x v="2"/>
    <n v="4238"/>
    <n v="0.3"/>
    <n v="1271.3999999999999"/>
    <x v="0"/>
    <x v="0"/>
    <s v="Annual"/>
  </r>
  <r>
    <d v="2024-02-06T00:00:00"/>
    <x v="1"/>
    <x v="1"/>
    <s v="Rania Omar"/>
    <s v="Individual"/>
    <x v="4"/>
    <x v="2"/>
    <x v="1"/>
    <n v="2573"/>
    <n v="0.25"/>
    <n v="643.25"/>
    <x v="1"/>
    <x v="0"/>
    <s v="Quarterly"/>
  </r>
  <r>
    <d v="2024-02-08T00:00:00"/>
    <x v="1"/>
    <x v="1"/>
    <s v="Octavium Digital"/>
    <s v="Company"/>
    <x v="1"/>
    <x v="0"/>
    <x v="0"/>
    <n v="6194"/>
    <n v="0.25"/>
    <n v="1548.5"/>
    <x v="0"/>
    <x v="0"/>
    <s v="Bi Annual"/>
  </r>
  <r>
    <d v="2024-02-11T00:00:00"/>
    <x v="1"/>
    <x v="1"/>
    <s v="Vantoro Enterprises"/>
    <s v="Company"/>
    <x v="2"/>
    <x v="1"/>
    <x v="1"/>
    <n v="6167"/>
    <n v="0.4"/>
    <n v="2466.8000000000002"/>
    <x v="0"/>
    <x v="2"/>
    <s v="Monthly"/>
  </r>
  <r>
    <d v="2024-02-11T00:00:00"/>
    <x v="1"/>
    <x v="1"/>
    <s v="Laila Al Mulla"/>
    <s v="Individual"/>
    <x v="0"/>
    <x v="0"/>
    <x v="3"/>
    <n v="2704"/>
    <n v="0.3"/>
    <n v="811.19999999999993"/>
    <x v="0"/>
    <x v="0"/>
    <s v="Bi Annual"/>
  </r>
  <r>
    <d v="2024-02-12T00:00:00"/>
    <x v="1"/>
    <x v="1"/>
    <s v="Zayed Al Nuaimi"/>
    <s v="Individual"/>
    <x v="4"/>
    <x v="2"/>
    <x v="1"/>
    <n v="7145"/>
    <n v="0.25"/>
    <n v="1786.25"/>
    <x v="1"/>
    <x v="1"/>
    <s v="Monthly"/>
  </r>
  <r>
    <d v="2024-02-12T00:00:00"/>
    <x v="1"/>
    <x v="1"/>
    <s v="Yousuf Al Marri"/>
    <s v="Individual"/>
    <x v="4"/>
    <x v="2"/>
    <x v="3"/>
    <n v="6330"/>
    <n v="0.25"/>
    <n v="1582.5"/>
    <x v="0"/>
    <x v="0"/>
    <s v="Monthly"/>
  </r>
  <r>
    <d v="2024-02-17T00:00:00"/>
    <x v="1"/>
    <x v="1"/>
    <s v="Stratoscope"/>
    <s v="Company"/>
    <x v="1"/>
    <x v="0"/>
    <x v="1"/>
    <n v="6448"/>
    <n v="0.25"/>
    <n v="1612"/>
    <x v="0"/>
    <x v="2"/>
    <s v="Monthly"/>
  </r>
  <r>
    <d v="2024-02-17T00:00:00"/>
    <x v="1"/>
    <x v="1"/>
    <s v="Octavium Digital"/>
    <s v="Company"/>
    <x v="2"/>
    <x v="1"/>
    <x v="2"/>
    <n v="7181"/>
    <n v="0.4"/>
    <n v="2872.4"/>
    <x v="0"/>
    <x v="0"/>
    <s v="Bi Annual"/>
  </r>
  <r>
    <d v="2024-02-18T00:00:00"/>
    <x v="1"/>
    <x v="1"/>
    <s v="Luminex Global"/>
    <s v="Company"/>
    <x v="4"/>
    <x v="2"/>
    <x v="3"/>
    <n v="4720"/>
    <n v="0.25"/>
    <n v="1180"/>
    <x v="0"/>
    <x v="2"/>
    <s v="Bi Annual"/>
  </r>
  <r>
    <d v="2024-02-19T00:00:00"/>
    <x v="1"/>
    <x v="1"/>
    <s v="Vantoro Enterprises"/>
    <s v="Company"/>
    <x v="3"/>
    <x v="1"/>
    <x v="4"/>
    <n v="3152"/>
    <n v="0.35"/>
    <n v="1103.1999999999998"/>
    <x v="1"/>
    <x v="0"/>
    <s v="Monthly"/>
  </r>
  <r>
    <d v="2024-02-21T00:00:00"/>
    <x v="1"/>
    <x v="1"/>
    <s v="Sarah Ahmed"/>
    <s v="Individual"/>
    <x v="1"/>
    <x v="0"/>
    <x v="3"/>
    <n v="4873"/>
    <n v="0.25"/>
    <n v="1218.25"/>
    <x v="0"/>
    <x v="2"/>
    <s v="Monthly"/>
  </r>
  <r>
    <d v="2024-02-22T00:00:00"/>
    <x v="1"/>
    <x v="1"/>
    <s v="Aetherion Systems"/>
    <s v="Company"/>
    <x v="0"/>
    <x v="0"/>
    <x v="2"/>
    <n v="6525"/>
    <n v="0.3"/>
    <n v="1957.5"/>
    <x v="0"/>
    <x v="1"/>
    <s v="Quarterly"/>
  </r>
  <r>
    <d v="2024-02-23T00:00:00"/>
    <x v="1"/>
    <x v="1"/>
    <s v="Zayed Al Nuaimi"/>
    <s v="Individual"/>
    <x v="2"/>
    <x v="1"/>
    <x v="2"/>
    <n v="3926"/>
    <n v="0.4"/>
    <n v="1570.4"/>
    <x v="0"/>
    <x v="0"/>
    <s v="Bi Annual"/>
  </r>
  <r>
    <d v="2024-02-27T00:00:00"/>
    <x v="1"/>
    <x v="1"/>
    <s v="Aetherion Systems"/>
    <s v="Company"/>
    <x v="3"/>
    <x v="1"/>
    <x v="2"/>
    <n v="5071"/>
    <n v="0.35"/>
    <n v="1774.85"/>
    <x v="0"/>
    <x v="1"/>
    <s v="Monthly"/>
  </r>
  <r>
    <d v="2024-02-27T00:00:00"/>
    <x v="1"/>
    <x v="1"/>
    <s v="Ali Juma"/>
    <s v="Individual"/>
    <x v="1"/>
    <x v="0"/>
    <x v="4"/>
    <n v="3656"/>
    <n v="0.25"/>
    <n v="914"/>
    <x v="1"/>
    <x v="2"/>
    <s v="Bi Annual"/>
  </r>
  <r>
    <d v="2024-02-27T00:00:00"/>
    <x v="1"/>
    <x v="1"/>
    <s v="Khaled Al Farsi"/>
    <s v="Individual"/>
    <x v="3"/>
    <x v="1"/>
    <x v="4"/>
    <n v="3210"/>
    <n v="0.35"/>
    <n v="1123.5"/>
    <x v="0"/>
    <x v="1"/>
    <s v="Bi Annual"/>
  </r>
  <r>
    <d v="2024-02-28T00:00:00"/>
    <x v="1"/>
    <x v="1"/>
    <s v="Mona Al Humaidi"/>
    <s v="Individual"/>
    <x v="3"/>
    <x v="1"/>
    <x v="1"/>
    <n v="6265"/>
    <n v="0.35"/>
    <n v="2192.75"/>
    <x v="1"/>
    <x v="0"/>
    <s v="Bi Annual"/>
  </r>
  <r>
    <d v="2024-03-01T00:00:00"/>
    <x v="2"/>
    <x v="1"/>
    <s v="Stratoscope"/>
    <s v="Company"/>
    <x v="3"/>
    <x v="1"/>
    <x v="4"/>
    <n v="2473"/>
    <n v="0.35"/>
    <n v="865.55"/>
    <x v="0"/>
    <x v="1"/>
    <s v="Quarterly"/>
  </r>
  <r>
    <d v="2024-03-01T00:00:00"/>
    <x v="2"/>
    <x v="1"/>
    <s v="Sarah Ahmed"/>
    <s v="Individual"/>
    <x v="1"/>
    <x v="0"/>
    <x v="1"/>
    <n v="3162"/>
    <n v="0.25"/>
    <n v="790.5"/>
    <x v="1"/>
    <x v="0"/>
    <s v="Annual"/>
  </r>
  <r>
    <d v="2024-03-04T00:00:00"/>
    <x v="2"/>
    <x v="1"/>
    <s v="Aetherion Systems"/>
    <s v="Company"/>
    <x v="3"/>
    <x v="1"/>
    <x v="1"/>
    <n v="6880"/>
    <n v="0.35"/>
    <n v="2408"/>
    <x v="1"/>
    <x v="2"/>
    <s v="Bi Annual"/>
  </r>
  <r>
    <d v="2024-03-05T00:00:00"/>
    <x v="2"/>
    <x v="1"/>
    <s v="Omar Ali"/>
    <s v="Individual"/>
    <x v="2"/>
    <x v="1"/>
    <x v="2"/>
    <n v="5132"/>
    <n v="0.4"/>
    <n v="2052.8000000000002"/>
    <x v="0"/>
    <x v="2"/>
    <s v="Bi Annual"/>
  </r>
  <r>
    <d v="2024-03-08T00:00:00"/>
    <x v="2"/>
    <x v="1"/>
    <s v="Mona Al Humaidi"/>
    <s v="Individual"/>
    <x v="2"/>
    <x v="1"/>
    <x v="4"/>
    <n v="6788"/>
    <n v="0.4"/>
    <n v="2715.2000000000003"/>
    <x v="0"/>
    <x v="0"/>
    <s v="Bi Annual"/>
  </r>
  <r>
    <d v="2024-03-09T00:00:00"/>
    <x v="2"/>
    <x v="1"/>
    <s v="Solvium Solutions"/>
    <s v="Company"/>
    <x v="3"/>
    <x v="1"/>
    <x v="2"/>
    <n v="6345"/>
    <n v="0.35"/>
    <n v="2220.75"/>
    <x v="0"/>
    <x v="0"/>
    <s v="Quarterly"/>
  </r>
  <r>
    <d v="2024-03-11T00:00:00"/>
    <x v="2"/>
    <x v="1"/>
    <s v="Altura Networks"/>
    <s v="Company"/>
    <x v="4"/>
    <x v="2"/>
    <x v="3"/>
    <n v="2868"/>
    <n v="0.25"/>
    <n v="717"/>
    <x v="0"/>
    <x v="0"/>
    <s v="Annual"/>
  </r>
  <r>
    <d v="2024-03-12T00:00:00"/>
    <x v="2"/>
    <x v="1"/>
    <s v="Vantoro Enterprises"/>
    <s v="Company"/>
    <x v="1"/>
    <x v="0"/>
    <x v="0"/>
    <n v="5442"/>
    <n v="0.25"/>
    <n v="1360.5"/>
    <x v="1"/>
    <x v="0"/>
    <s v="Monthly"/>
  </r>
  <r>
    <d v="2024-03-13T00:00:00"/>
    <x v="2"/>
    <x v="1"/>
    <s v="InfiNova Technologies"/>
    <s v="Company"/>
    <x v="0"/>
    <x v="0"/>
    <x v="3"/>
    <n v="5325"/>
    <n v="0.3"/>
    <n v="1597.5"/>
    <x v="0"/>
    <x v="1"/>
    <s v="Annual"/>
  </r>
  <r>
    <d v="2024-03-13T00:00:00"/>
    <x v="2"/>
    <x v="1"/>
    <s v="Laila Al Mulla"/>
    <s v="Individual"/>
    <x v="4"/>
    <x v="2"/>
    <x v="4"/>
    <n v="3907"/>
    <n v="0.25"/>
    <n v="976.75"/>
    <x v="1"/>
    <x v="2"/>
    <s v="Bi Annual"/>
  </r>
  <r>
    <d v="2024-03-15T00:00:00"/>
    <x v="2"/>
    <x v="1"/>
    <s v="Hanan Al Khatri"/>
    <s v="Individual"/>
    <x v="0"/>
    <x v="0"/>
    <x v="3"/>
    <n v="4765"/>
    <n v="0.3"/>
    <n v="1429.5"/>
    <x v="1"/>
    <x v="2"/>
    <s v="Annual"/>
  </r>
  <r>
    <d v="2024-03-19T00:00:00"/>
    <x v="2"/>
    <x v="1"/>
    <s v="Zephyr Industries"/>
    <s v="Company"/>
    <x v="2"/>
    <x v="1"/>
    <x v="1"/>
    <n v="6030"/>
    <n v="0.4"/>
    <n v="2412"/>
    <x v="0"/>
    <x v="2"/>
    <s v="Annual"/>
  </r>
  <r>
    <d v="2024-03-19T00:00:00"/>
    <x v="2"/>
    <x v="1"/>
    <s v="Laila Al Mulla"/>
    <s v="Individual"/>
    <x v="2"/>
    <x v="1"/>
    <x v="3"/>
    <n v="5796"/>
    <n v="0.4"/>
    <n v="2318.4"/>
    <x v="1"/>
    <x v="0"/>
    <s v="Bi Annual"/>
  </r>
  <r>
    <d v="2024-03-19T00:00:00"/>
    <x v="2"/>
    <x v="1"/>
    <s v="Layla Al Dhanhani"/>
    <s v="Individual"/>
    <x v="2"/>
    <x v="1"/>
    <x v="2"/>
    <n v="3903"/>
    <n v="0.4"/>
    <n v="1561.2"/>
    <x v="1"/>
    <x v="1"/>
    <s v="Bi Annual"/>
  </r>
  <r>
    <d v="2024-03-20T00:00:00"/>
    <x v="2"/>
    <x v="1"/>
    <s v="Synergenix Labs"/>
    <s v="Company"/>
    <x v="4"/>
    <x v="2"/>
    <x v="3"/>
    <n v="6933"/>
    <n v="0.25"/>
    <n v="1733.25"/>
    <x v="0"/>
    <x v="1"/>
    <s v="Quarterly"/>
  </r>
  <r>
    <d v="2024-03-26T00:00:00"/>
    <x v="2"/>
    <x v="1"/>
    <s v="Zephyr Industries"/>
    <s v="Company"/>
    <x v="4"/>
    <x v="2"/>
    <x v="2"/>
    <n v="3446"/>
    <n v="0.25"/>
    <n v="861.5"/>
    <x v="0"/>
    <x v="1"/>
    <s v="Bi Annual"/>
  </r>
  <r>
    <d v="2024-03-26T00:00:00"/>
    <x v="2"/>
    <x v="1"/>
    <s v="Mariam Al Shamsi"/>
    <s v="Individual"/>
    <x v="3"/>
    <x v="1"/>
    <x v="2"/>
    <n v="3227"/>
    <n v="0.35"/>
    <n v="1129.4499999999998"/>
    <x v="0"/>
    <x v="2"/>
    <s v="Bi Annual"/>
  </r>
  <r>
    <d v="2024-03-28T00:00:00"/>
    <x v="2"/>
    <x v="1"/>
    <s v="Noura Rashid"/>
    <s v="Individual"/>
    <x v="3"/>
    <x v="1"/>
    <x v="3"/>
    <n v="5167"/>
    <n v="0.35"/>
    <n v="1808.4499999999998"/>
    <x v="1"/>
    <x v="0"/>
    <s v="Quarterly"/>
  </r>
  <r>
    <d v="2024-03-30T00:00:00"/>
    <x v="2"/>
    <x v="1"/>
    <s v="Saeed Al Saeed"/>
    <s v="Individual"/>
    <x v="2"/>
    <x v="1"/>
    <x v="1"/>
    <n v="7081"/>
    <n v="0.4"/>
    <n v="2832.4"/>
    <x v="1"/>
    <x v="0"/>
    <s v="Monthly"/>
  </r>
  <r>
    <d v="2024-03-31T00:00:00"/>
    <x v="2"/>
    <x v="1"/>
    <s v="Vantoro Enterprises"/>
    <s v="Company"/>
    <x v="3"/>
    <x v="1"/>
    <x v="3"/>
    <n v="6006"/>
    <n v="0.35"/>
    <n v="2102.1"/>
    <x v="1"/>
    <x v="0"/>
    <s v="Quarterly"/>
  </r>
  <r>
    <d v="2024-04-02T00:00:00"/>
    <x v="3"/>
    <x v="1"/>
    <s v="Rania Omar"/>
    <s v="Individual"/>
    <x v="2"/>
    <x v="1"/>
    <x v="3"/>
    <n v="7023"/>
    <n v="0.4"/>
    <n v="2809.2000000000003"/>
    <x v="1"/>
    <x v="0"/>
    <s v="Monthly"/>
  </r>
  <r>
    <d v="2024-04-03T00:00:00"/>
    <x v="3"/>
    <x v="1"/>
    <s v="Aetherion Systems"/>
    <s v="Company"/>
    <x v="0"/>
    <x v="0"/>
    <x v="3"/>
    <n v="2871"/>
    <n v="0.3"/>
    <n v="861.3"/>
    <x v="0"/>
    <x v="0"/>
    <s v="Quarterly"/>
  </r>
  <r>
    <d v="2024-04-03T00:00:00"/>
    <x v="3"/>
    <x v="1"/>
    <s v="Omar Ali"/>
    <s v="Individual"/>
    <x v="2"/>
    <x v="1"/>
    <x v="0"/>
    <n v="6127"/>
    <n v="0.4"/>
    <n v="2450.8000000000002"/>
    <x v="0"/>
    <x v="0"/>
    <s v="Monthly"/>
  </r>
  <r>
    <d v="2024-04-04T00:00:00"/>
    <x v="3"/>
    <x v="1"/>
    <s v="Laila Al Mulla"/>
    <s v="Individual"/>
    <x v="3"/>
    <x v="1"/>
    <x v="2"/>
    <n v="3894"/>
    <n v="0.35"/>
    <n v="1362.8999999999999"/>
    <x v="1"/>
    <x v="2"/>
    <s v="Bi Annual"/>
  </r>
  <r>
    <d v="2024-04-07T00:00:00"/>
    <x v="3"/>
    <x v="1"/>
    <s v="Octavium Digital"/>
    <s v="Company"/>
    <x v="4"/>
    <x v="2"/>
    <x v="2"/>
    <n v="6449"/>
    <n v="0.25"/>
    <n v="1612.25"/>
    <x v="0"/>
    <x v="0"/>
    <s v="Monthly"/>
  </r>
  <r>
    <d v="2024-04-08T00:00:00"/>
    <x v="3"/>
    <x v="1"/>
    <s v="Solvium Solutions"/>
    <s v="Company"/>
    <x v="2"/>
    <x v="1"/>
    <x v="4"/>
    <n v="4976"/>
    <n v="0.4"/>
    <n v="1990.4"/>
    <x v="1"/>
    <x v="1"/>
    <s v="Bi Annual"/>
  </r>
  <r>
    <d v="2024-04-08T00:00:00"/>
    <x v="3"/>
    <x v="1"/>
    <s v="Synergenix Labs"/>
    <s v="Company"/>
    <x v="1"/>
    <x v="0"/>
    <x v="0"/>
    <n v="5171"/>
    <n v="0.25"/>
    <n v="1292.75"/>
    <x v="0"/>
    <x v="0"/>
    <s v="Quarterly"/>
  </r>
  <r>
    <d v="2024-04-09T00:00:00"/>
    <x v="3"/>
    <x v="1"/>
    <s v="Saeed Al Saeed"/>
    <s v="Individual"/>
    <x v="4"/>
    <x v="2"/>
    <x v="3"/>
    <n v="6231"/>
    <n v="0.25"/>
    <n v="1557.75"/>
    <x v="0"/>
    <x v="1"/>
    <s v="Monthly"/>
  </r>
  <r>
    <d v="2024-04-10T00:00:00"/>
    <x v="3"/>
    <x v="1"/>
    <s v="Rania Omar"/>
    <s v="Individual"/>
    <x v="3"/>
    <x v="1"/>
    <x v="1"/>
    <n v="4838"/>
    <n v="0.35"/>
    <n v="1693.3"/>
    <x v="0"/>
    <x v="0"/>
    <s v="Quarterly"/>
  </r>
  <r>
    <d v="2024-04-14T00:00:00"/>
    <x v="3"/>
    <x v="1"/>
    <s v="Stratoscope"/>
    <s v="Company"/>
    <x v="2"/>
    <x v="1"/>
    <x v="1"/>
    <n v="4855"/>
    <n v="0.4"/>
    <n v="1942"/>
    <x v="0"/>
    <x v="0"/>
    <s v="Annual"/>
  </r>
  <r>
    <d v="2024-04-16T00:00:00"/>
    <x v="3"/>
    <x v="1"/>
    <s v="Luminex Global"/>
    <s v="Company"/>
    <x v="4"/>
    <x v="2"/>
    <x v="3"/>
    <n v="4488"/>
    <n v="0.25"/>
    <n v="1122"/>
    <x v="0"/>
    <x v="2"/>
    <s v="Monthly"/>
  </r>
  <r>
    <d v="2024-04-17T00:00:00"/>
    <x v="3"/>
    <x v="1"/>
    <s v="Zephyr Industries"/>
    <s v="Company"/>
    <x v="3"/>
    <x v="1"/>
    <x v="3"/>
    <n v="3207"/>
    <n v="0.35"/>
    <n v="1122.4499999999998"/>
    <x v="1"/>
    <x v="2"/>
    <s v="Annual"/>
  </r>
  <r>
    <d v="2024-04-19T00:00:00"/>
    <x v="3"/>
    <x v="1"/>
    <s v="InfiNova Technologies"/>
    <s v="Company"/>
    <x v="1"/>
    <x v="0"/>
    <x v="0"/>
    <n v="5536"/>
    <n v="0.25"/>
    <n v="1384"/>
    <x v="1"/>
    <x v="0"/>
    <s v="Bi Annual"/>
  </r>
  <r>
    <d v="2024-04-20T00:00:00"/>
    <x v="3"/>
    <x v="1"/>
    <s v="Omar Ali"/>
    <s v="Individual"/>
    <x v="2"/>
    <x v="1"/>
    <x v="2"/>
    <n v="3567"/>
    <n v="0.4"/>
    <n v="1426.8000000000002"/>
    <x v="0"/>
    <x v="2"/>
    <s v="Monthly"/>
  </r>
  <r>
    <d v="2024-04-21T00:00:00"/>
    <x v="3"/>
    <x v="1"/>
    <s v="Khaled Al Farsi"/>
    <s v="Individual"/>
    <x v="0"/>
    <x v="0"/>
    <x v="2"/>
    <n v="6891"/>
    <n v="0.3"/>
    <n v="2067.2999999999997"/>
    <x v="0"/>
    <x v="2"/>
    <s v="Annual"/>
  </r>
  <r>
    <d v="2024-04-25T00:00:00"/>
    <x v="3"/>
    <x v="1"/>
    <s v="Tariq Al Zahrani"/>
    <s v="Individual"/>
    <x v="3"/>
    <x v="1"/>
    <x v="2"/>
    <n v="7424"/>
    <n v="0.35"/>
    <n v="2598.3999999999996"/>
    <x v="0"/>
    <x v="0"/>
    <s v="Monthly"/>
  </r>
  <r>
    <d v="2024-04-27T00:00:00"/>
    <x v="3"/>
    <x v="1"/>
    <s v="Sami Al Shamsi"/>
    <s v="Individual"/>
    <x v="2"/>
    <x v="1"/>
    <x v="0"/>
    <n v="7390"/>
    <n v="0.4"/>
    <n v="2956"/>
    <x v="1"/>
    <x v="2"/>
    <s v="Monthly"/>
  </r>
  <r>
    <d v="2024-04-28T00:00:00"/>
    <x v="3"/>
    <x v="1"/>
    <s v="InfiNova Technologies"/>
    <s v="Company"/>
    <x v="2"/>
    <x v="1"/>
    <x v="1"/>
    <n v="6058"/>
    <n v="0.4"/>
    <n v="2423.2000000000003"/>
    <x v="0"/>
    <x v="0"/>
    <s v="Monthly"/>
  </r>
  <r>
    <d v="2024-04-30T00:00:00"/>
    <x v="3"/>
    <x v="1"/>
    <s v="Stratoscope"/>
    <s v="Company"/>
    <x v="3"/>
    <x v="1"/>
    <x v="3"/>
    <n v="4466"/>
    <n v="0.35"/>
    <n v="1563.1"/>
    <x v="0"/>
    <x v="2"/>
    <s v="Bi Annual"/>
  </r>
  <r>
    <d v="2024-04-30T00:00:00"/>
    <x v="3"/>
    <x v="1"/>
    <s v="Jamal Al Maktoum"/>
    <s v="Individual"/>
    <x v="4"/>
    <x v="2"/>
    <x v="3"/>
    <n v="2457"/>
    <n v="0.25"/>
    <n v="614.25"/>
    <x v="1"/>
    <x v="2"/>
    <s v="Annual"/>
  </r>
  <r>
    <d v="2024-05-01T00:00:00"/>
    <x v="4"/>
    <x v="1"/>
    <s v="Vantoro Enterprises"/>
    <s v="Company"/>
    <x v="4"/>
    <x v="2"/>
    <x v="3"/>
    <n v="2645"/>
    <n v="0.25"/>
    <n v="661.25"/>
    <x v="0"/>
    <x v="2"/>
    <s v="Quarterly"/>
  </r>
  <r>
    <d v="2024-05-01T00:00:00"/>
    <x v="4"/>
    <x v="1"/>
    <s v="Fatima Saeed"/>
    <s v="Individual"/>
    <x v="3"/>
    <x v="1"/>
    <x v="0"/>
    <n v="7168"/>
    <n v="0.35"/>
    <n v="2508.7999999999997"/>
    <x v="0"/>
    <x v="2"/>
    <s v="Monthly"/>
  </r>
  <r>
    <d v="2024-05-02T00:00:00"/>
    <x v="4"/>
    <x v="1"/>
    <s v="Omar Ali"/>
    <s v="Individual"/>
    <x v="1"/>
    <x v="0"/>
    <x v="4"/>
    <n v="3643"/>
    <n v="0.25"/>
    <n v="910.75"/>
    <x v="0"/>
    <x v="0"/>
    <s v="Annual"/>
  </r>
  <r>
    <d v="2024-05-03T00:00:00"/>
    <x v="4"/>
    <x v="1"/>
    <s v="Vantoro Enterprises"/>
    <s v="Company"/>
    <x v="4"/>
    <x v="2"/>
    <x v="2"/>
    <n v="7166"/>
    <n v="0.25"/>
    <n v="1791.5"/>
    <x v="0"/>
    <x v="2"/>
    <s v="Annual"/>
  </r>
  <r>
    <d v="2024-05-03T00:00:00"/>
    <x v="4"/>
    <x v="1"/>
    <s v="Mona Al Humaidi"/>
    <s v="Individual"/>
    <x v="3"/>
    <x v="1"/>
    <x v="0"/>
    <n v="5324"/>
    <n v="0.35"/>
    <n v="1863.3999999999999"/>
    <x v="1"/>
    <x v="2"/>
    <s v="Bi Annual"/>
  </r>
  <r>
    <d v="2024-05-04T00:00:00"/>
    <x v="4"/>
    <x v="1"/>
    <s v="Octavium Digital"/>
    <s v="Company"/>
    <x v="1"/>
    <x v="0"/>
    <x v="3"/>
    <n v="5233"/>
    <n v="0.25"/>
    <n v="1308.25"/>
    <x v="0"/>
    <x v="0"/>
    <s v="Quarterly"/>
  </r>
  <r>
    <d v="2024-05-07T00:00:00"/>
    <x v="4"/>
    <x v="1"/>
    <s v="Hanan Al Khatri"/>
    <s v="Individual"/>
    <x v="4"/>
    <x v="2"/>
    <x v="1"/>
    <n v="5064"/>
    <n v="0.25"/>
    <n v="1266"/>
    <x v="1"/>
    <x v="0"/>
    <s v="Monthly"/>
  </r>
  <r>
    <d v="2024-05-09T00:00:00"/>
    <x v="4"/>
    <x v="1"/>
    <s v="Synergenix Labs"/>
    <s v="Company"/>
    <x v="3"/>
    <x v="1"/>
    <x v="3"/>
    <n v="7419"/>
    <n v="0.35"/>
    <n v="2596.6499999999996"/>
    <x v="0"/>
    <x v="1"/>
    <s v="Annual"/>
  </r>
  <r>
    <d v="2024-05-14T00:00:00"/>
    <x v="4"/>
    <x v="1"/>
    <s v="Aetherion Systems"/>
    <s v="Company"/>
    <x v="2"/>
    <x v="1"/>
    <x v="2"/>
    <n v="5511"/>
    <n v="0.4"/>
    <n v="2204.4"/>
    <x v="0"/>
    <x v="2"/>
    <s v="Annual"/>
  </r>
  <r>
    <d v="2024-05-14T00:00:00"/>
    <x v="4"/>
    <x v="1"/>
    <s v="Khaled Al Farsi"/>
    <s v="Individual"/>
    <x v="0"/>
    <x v="0"/>
    <x v="2"/>
    <n v="3786"/>
    <n v="0.3"/>
    <n v="1135.8"/>
    <x v="0"/>
    <x v="2"/>
    <s v="Annual"/>
  </r>
  <r>
    <d v="2024-05-14T00:00:00"/>
    <x v="4"/>
    <x v="1"/>
    <s v="Fatima Saeed"/>
    <s v="Individual"/>
    <x v="2"/>
    <x v="1"/>
    <x v="3"/>
    <n v="3218"/>
    <n v="0.4"/>
    <n v="1287.2"/>
    <x v="0"/>
    <x v="0"/>
    <s v="Monthly"/>
  </r>
  <r>
    <d v="2024-05-14T00:00:00"/>
    <x v="4"/>
    <x v="1"/>
    <s v="Sarah Ahmed"/>
    <s v="Individual"/>
    <x v="0"/>
    <x v="0"/>
    <x v="1"/>
    <n v="3555"/>
    <n v="0.3"/>
    <n v="1066.5"/>
    <x v="1"/>
    <x v="2"/>
    <s v="Annual"/>
  </r>
  <r>
    <d v="2024-05-15T00:00:00"/>
    <x v="4"/>
    <x v="1"/>
    <s v="Solvium Solutions"/>
    <s v="Company"/>
    <x v="2"/>
    <x v="1"/>
    <x v="2"/>
    <n v="4229"/>
    <n v="0.4"/>
    <n v="1691.6000000000001"/>
    <x v="0"/>
    <x v="0"/>
    <s v="Annual"/>
  </r>
  <r>
    <d v="2024-05-18T00:00:00"/>
    <x v="4"/>
    <x v="1"/>
    <s v="Vantoro Enterprises"/>
    <s v="Company"/>
    <x v="1"/>
    <x v="0"/>
    <x v="0"/>
    <n v="6036"/>
    <n v="0.25"/>
    <n v="1509"/>
    <x v="1"/>
    <x v="1"/>
    <s v="Annual"/>
  </r>
  <r>
    <d v="2024-05-20T00:00:00"/>
    <x v="4"/>
    <x v="1"/>
    <s v="Aetherion Systems"/>
    <s v="Company"/>
    <x v="1"/>
    <x v="0"/>
    <x v="2"/>
    <n v="3015"/>
    <n v="0.25"/>
    <n v="753.75"/>
    <x v="0"/>
    <x v="2"/>
    <s v="Monthly"/>
  </r>
  <r>
    <d v="2024-05-20T00:00:00"/>
    <x v="4"/>
    <x v="1"/>
    <s v="Mona Al Humaidi"/>
    <s v="Individual"/>
    <x v="0"/>
    <x v="0"/>
    <x v="1"/>
    <n v="2982"/>
    <n v="0.3"/>
    <n v="894.6"/>
    <x v="0"/>
    <x v="1"/>
    <s v="Quarterly"/>
  </r>
  <r>
    <d v="2024-05-22T00:00:00"/>
    <x v="4"/>
    <x v="1"/>
    <s v="Nexa Core"/>
    <s v="Company"/>
    <x v="4"/>
    <x v="2"/>
    <x v="1"/>
    <n v="4222"/>
    <n v="0.25"/>
    <n v="1055.5"/>
    <x v="0"/>
    <x v="1"/>
    <s v="Quarterly"/>
  </r>
  <r>
    <d v="2024-05-23T00:00:00"/>
    <x v="4"/>
    <x v="1"/>
    <s v="Zayed Al Nuaimi"/>
    <s v="Individual"/>
    <x v="0"/>
    <x v="0"/>
    <x v="1"/>
    <n v="3040"/>
    <n v="0.3"/>
    <n v="912"/>
    <x v="0"/>
    <x v="1"/>
    <s v="Monthly"/>
  </r>
  <r>
    <d v="2024-05-26T00:00:00"/>
    <x v="4"/>
    <x v="1"/>
    <s v="Zephyr Industries"/>
    <s v="Company"/>
    <x v="4"/>
    <x v="2"/>
    <x v="2"/>
    <n v="6408"/>
    <n v="0.25"/>
    <n v="1602"/>
    <x v="0"/>
    <x v="2"/>
    <s v="Annual"/>
  </r>
  <r>
    <d v="2024-05-27T00:00:00"/>
    <x v="4"/>
    <x v="1"/>
    <s v="Mariam Al Shamsi"/>
    <s v="Individual"/>
    <x v="1"/>
    <x v="0"/>
    <x v="2"/>
    <n v="6982"/>
    <n v="0.25"/>
    <n v="1745.5"/>
    <x v="0"/>
    <x v="2"/>
    <s v="Annual"/>
  </r>
  <r>
    <d v="2024-06-06T00:00:00"/>
    <x v="5"/>
    <x v="1"/>
    <s v="Basma Nasser"/>
    <s v="Individual"/>
    <x v="4"/>
    <x v="2"/>
    <x v="1"/>
    <n v="5225"/>
    <n v="0.25"/>
    <n v="1306.25"/>
    <x v="0"/>
    <x v="0"/>
    <s v="Annual"/>
  </r>
  <r>
    <d v="2024-06-06T00:00:00"/>
    <x v="5"/>
    <x v="1"/>
    <s v="Ali Juma"/>
    <s v="Individual"/>
    <x v="2"/>
    <x v="1"/>
    <x v="4"/>
    <n v="6679"/>
    <n v="0.4"/>
    <n v="2671.6000000000004"/>
    <x v="1"/>
    <x v="0"/>
    <s v="Quarterly"/>
  </r>
  <r>
    <d v="2024-06-08T00:00:00"/>
    <x v="5"/>
    <x v="1"/>
    <s v="Aetherion Systems"/>
    <s v="Company"/>
    <x v="0"/>
    <x v="0"/>
    <x v="2"/>
    <n v="6683"/>
    <n v="0.3"/>
    <n v="2004.8999999999999"/>
    <x v="1"/>
    <x v="1"/>
    <s v="Annual"/>
  </r>
  <r>
    <d v="2024-06-09T00:00:00"/>
    <x v="5"/>
    <x v="1"/>
    <s v="Mariam Al Shamsi"/>
    <s v="Individual"/>
    <x v="4"/>
    <x v="2"/>
    <x v="2"/>
    <n v="7372"/>
    <n v="0.25"/>
    <n v="1843"/>
    <x v="0"/>
    <x v="1"/>
    <s v="Monthly"/>
  </r>
  <r>
    <d v="2024-06-12T00:00:00"/>
    <x v="5"/>
    <x v="1"/>
    <s v="InfiNova Technologies"/>
    <s v="Company"/>
    <x v="0"/>
    <x v="0"/>
    <x v="2"/>
    <n v="6231"/>
    <n v="0.3"/>
    <n v="1869.3"/>
    <x v="0"/>
    <x v="1"/>
    <s v="Monthly"/>
  </r>
  <r>
    <d v="2024-06-13T00:00:00"/>
    <x v="5"/>
    <x v="1"/>
    <s v="Zayed Al Nuaimi"/>
    <s v="Individual"/>
    <x v="3"/>
    <x v="1"/>
    <x v="2"/>
    <n v="2977"/>
    <n v="0.35"/>
    <n v="1041.95"/>
    <x v="0"/>
    <x v="0"/>
    <s v="Bi Annual"/>
  </r>
  <r>
    <d v="2024-06-17T00:00:00"/>
    <x v="5"/>
    <x v="1"/>
    <s v="Luminex Global"/>
    <s v="Company"/>
    <x v="1"/>
    <x v="0"/>
    <x v="4"/>
    <n v="4253"/>
    <n v="0.25"/>
    <n v="1063.25"/>
    <x v="1"/>
    <x v="2"/>
    <s v="Annual"/>
  </r>
  <r>
    <d v="2024-06-18T00:00:00"/>
    <x v="5"/>
    <x v="1"/>
    <s v="InfiNova Technologies"/>
    <s v="Company"/>
    <x v="4"/>
    <x v="2"/>
    <x v="3"/>
    <n v="4957"/>
    <n v="0.25"/>
    <n v="1239.25"/>
    <x v="0"/>
    <x v="1"/>
    <s v="Annual"/>
  </r>
  <r>
    <d v="2024-06-19T00:00:00"/>
    <x v="5"/>
    <x v="1"/>
    <s v="Octavium Digital"/>
    <s v="Company"/>
    <x v="1"/>
    <x v="0"/>
    <x v="2"/>
    <n v="6527"/>
    <n v="0.25"/>
    <n v="1631.75"/>
    <x v="0"/>
    <x v="2"/>
    <s v="Quarterly"/>
  </r>
  <r>
    <d v="2024-06-20T00:00:00"/>
    <x v="5"/>
    <x v="1"/>
    <s v="Mariam Al Shamsi"/>
    <s v="Individual"/>
    <x v="2"/>
    <x v="1"/>
    <x v="2"/>
    <n v="7304"/>
    <n v="0.4"/>
    <n v="2921.6000000000004"/>
    <x v="0"/>
    <x v="2"/>
    <s v="Monthly"/>
  </r>
  <r>
    <d v="2024-06-22T00:00:00"/>
    <x v="5"/>
    <x v="1"/>
    <s v="Octavium Digital"/>
    <s v="Company"/>
    <x v="1"/>
    <x v="0"/>
    <x v="3"/>
    <n v="3467"/>
    <n v="0.25"/>
    <n v="866.75"/>
    <x v="0"/>
    <x v="2"/>
    <s v="Bi Annual"/>
  </r>
  <r>
    <d v="2024-06-22T00:00:00"/>
    <x v="5"/>
    <x v="1"/>
    <s v="Aetherion Systems"/>
    <s v="Company"/>
    <x v="2"/>
    <x v="1"/>
    <x v="2"/>
    <n v="7337"/>
    <n v="0.4"/>
    <n v="2934.8"/>
    <x v="1"/>
    <x v="0"/>
    <s v="Monthly"/>
  </r>
  <r>
    <d v="2024-06-23T00:00:00"/>
    <x v="5"/>
    <x v="1"/>
    <s v="Luminex Global"/>
    <s v="Company"/>
    <x v="1"/>
    <x v="0"/>
    <x v="2"/>
    <n v="3007"/>
    <n v="0.25"/>
    <n v="751.75"/>
    <x v="0"/>
    <x v="0"/>
    <s v="Bi Annual"/>
  </r>
  <r>
    <d v="2024-06-24T00:00:00"/>
    <x v="5"/>
    <x v="1"/>
    <s v="Quanta Sphere Tech"/>
    <s v="Company"/>
    <x v="3"/>
    <x v="1"/>
    <x v="0"/>
    <n v="6967"/>
    <n v="0.35"/>
    <n v="2438.4499999999998"/>
    <x v="1"/>
    <x v="2"/>
    <s v="Quarterly"/>
  </r>
  <r>
    <d v="2024-06-25T00:00:00"/>
    <x v="5"/>
    <x v="1"/>
    <s v="Basma Nasser"/>
    <s v="Individual"/>
    <x v="2"/>
    <x v="1"/>
    <x v="3"/>
    <n v="3579"/>
    <n v="0.4"/>
    <n v="1431.6000000000001"/>
    <x v="0"/>
    <x v="0"/>
    <s v="Monthly"/>
  </r>
  <r>
    <d v="2024-06-25T00:00:00"/>
    <x v="5"/>
    <x v="1"/>
    <s v="Hanan Al Khatri"/>
    <s v="Individual"/>
    <x v="0"/>
    <x v="0"/>
    <x v="1"/>
    <n v="5956"/>
    <n v="0.3"/>
    <n v="1786.8"/>
    <x v="0"/>
    <x v="1"/>
    <s v="Bi Annual"/>
  </r>
  <r>
    <d v="2024-06-26T00:00:00"/>
    <x v="5"/>
    <x v="1"/>
    <s v="Laila Al Mulla"/>
    <s v="Individual"/>
    <x v="4"/>
    <x v="2"/>
    <x v="0"/>
    <n v="4703"/>
    <n v="0.25"/>
    <n v="1175.75"/>
    <x v="0"/>
    <x v="0"/>
    <s v="Bi Annual"/>
  </r>
  <r>
    <d v="2024-06-26T00:00:00"/>
    <x v="5"/>
    <x v="1"/>
    <s v="Tariq Al Zahrani"/>
    <s v="Individual"/>
    <x v="4"/>
    <x v="2"/>
    <x v="1"/>
    <n v="6947"/>
    <n v="0.25"/>
    <n v="1736.75"/>
    <x v="1"/>
    <x v="2"/>
    <s v="Annual"/>
  </r>
  <r>
    <d v="2024-06-28T00:00:00"/>
    <x v="5"/>
    <x v="1"/>
    <s v="Luminex Global"/>
    <s v="Company"/>
    <x v="1"/>
    <x v="0"/>
    <x v="3"/>
    <n v="3550"/>
    <n v="0.25"/>
    <n v="887.5"/>
    <x v="1"/>
    <x v="0"/>
    <s v="Annual"/>
  </r>
  <r>
    <d v="2024-06-29T00:00:00"/>
    <x v="5"/>
    <x v="1"/>
    <s v="Mona Al Humaidi"/>
    <s v="Individual"/>
    <x v="4"/>
    <x v="2"/>
    <x v="2"/>
    <n v="5877"/>
    <n v="0.25"/>
    <n v="1469.25"/>
    <x v="0"/>
    <x v="1"/>
    <s v="Quarterly"/>
  </r>
  <r>
    <d v="2024-07-02T00:00:00"/>
    <x v="6"/>
    <x v="1"/>
    <s v="Zephyr Industries"/>
    <s v="Company"/>
    <x v="1"/>
    <x v="0"/>
    <x v="4"/>
    <n v="12139"/>
    <n v="0.25"/>
    <n v="3034.75"/>
    <x v="0"/>
    <x v="2"/>
    <s v="Bi Annual"/>
  </r>
  <r>
    <d v="2024-07-03T00:00:00"/>
    <x v="6"/>
    <x v="1"/>
    <s v="Synergenix Labs"/>
    <s v="Company"/>
    <x v="2"/>
    <x v="1"/>
    <x v="1"/>
    <n v="11449"/>
    <n v="0.4"/>
    <n v="4579.6000000000004"/>
    <x v="1"/>
    <x v="2"/>
    <s v="Bi Annual"/>
  </r>
  <r>
    <d v="2024-07-03T00:00:00"/>
    <x v="6"/>
    <x v="1"/>
    <s v="Solvium Solutions"/>
    <s v="Company"/>
    <x v="4"/>
    <x v="2"/>
    <x v="3"/>
    <n v="8143"/>
    <n v="0.25"/>
    <n v="2035.75"/>
    <x v="0"/>
    <x v="0"/>
    <s v="Annual"/>
  </r>
  <r>
    <d v="2024-07-11T00:00:00"/>
    <x v="6"/>
    <x v="1"/>
    <s v="Altura Networks"/>
    <s v="Company"/>
    <x v="0"/>
    <x v="0"/>
    <x v="3"/>
    <n v="11800"/>
    <n v="0.3"/>
    <n v="3540"/>
    <x v="0"/>
    <x v="0"/>
    <s v="Quarterly"/>
  </r>
  <r>
    <d v="2024-07-13T00:00:00"/>
    <x v="6"/>
    <x v="1"/>
    <s v="Hanan Al Khatri"/>
    <s v="Individual"/>
    <x v="0"/>
    <x v="0"/>
    <x v="2"/>
    <n v="9912"/>
    <n v="0.3"/>
    <n v="2973.6"/>
    <x v="1"/>
    <x v="0"/>
    <s v="Monthly"/>
  </r>
  <r>
    <d v="2024-07-14T00:00:00"/>
    <x v="6"/>
    <x v="1"/>
    <s v="Solvium Solutions"/>
    <s v="Company"/>
    <x v="4"/>
    <x v="2"/>
    <x v="1"/>
    <n v="8622"/>
    <n v="0.25"/>
    <n v="2155.5"/>
    <x v="1"/>
    <x v="2"/>
    <s v="Quarterly"/>
  </r>
  <r>
    <d v="2024-07-14T00:00:00"/>
    <x v="6"/>
    <x v="1"/>
    <s v="Yousuf Al Marri"/>
    <s v="Individual"/>
    <x v="4"/>
    <x v="2"/>
    <x v="3"/>
    <n v="12171"/>
    <n v="0.25"/>
    <n v="3042.75"/>
    <x v="0"/>
    <x v="2"/>
    <s v="Quarterly"/>
  </r>
  <r>
    <d v="2024-07-16T00:00:00"/>
    <x v="6"/>
    <x v="1"/>
    <s v="Rania Omar"/>
    <s v="Individual"/>
    <x v="4"/>
    <x v="2"/>
    <x v="2"/>
    <n v="10535"/>
    <n v="0.25"/>
    <n v="2633.75"/>
    <x v="0"/>
    <x v="0"/>
    <s v="Quarterly"/>
  </r>
  <r>
    <d v="2024-07-17T00:00:00"/>
    <x v="6"/>
    <x v="1"/>
    <s v="Zephyr Industries"/>
    <s v="Company"/>
    <x v="1"/>
    <x v="0"/>
    <x v="1"/>
    <n v="7953"/>
    <n v="0.25"/>
    <n v="1988.25"/>
    <x v="0"/>
    <x v="1"/>
    <s v="Annual"/>
  </r>
  <r>
    <d v="2024-07-19T00:00:00"/>
    <x v="6"/>
    <x v="1"/>
    <s v="Stratoscope"/>
    <s v="Company"/>
    <x v="4"/>
    <x v="2"/>
    <x v="4"/>
    <n v="10930"/>
    <n v="0.25"/>
    <n v="2732.5"/>
    <x v="1"/>
    <x v="0"/>
    <s v="Quarterly"/>
  </r>
  <r>
    <d v="2024-07-21T00:00:00"/>
    <x v="6"/>
    <x v="1"/>
    <s v="Fatima Saeed"/>
    <s v="Individual"/>
    <x v="2"/>
    <x v="1"/>
    <x v="0"/>
    <n v="11500"/>
    <n v="0.4"/>
    <n v="4600"/>
    <x v="0"/>
    <x v="1"/>
    <s v="Annual"/>
  </r>
  <r>
    <d v="2024-07-21T00:00:00"/>
    <x v="6"/>
    <x v="1"/>
    <s v="Yousuf Al Marri"/>
    <s v="Individual"/>
    <x v="4"/>
    <x v="2"/>
    <x v="2"/>
    <n v="9291"/>
    <n v="0.25"/>
    <n v="2322.75"/>
    <x v="1"/>
    <x v="2"/>
    <s v="Annual"/>
  </r>
  <r>
    <d v="2024-07-21T00:00:00"/>
    <x v="6"/>
    <x v="1"/>
    <s v="Jamal Al Maktoum"/>
    <s v="Individual"/>
    <x v="2"/>
    <x v="1"/>
    <x v="3"/>
    <n v="10444"/>
    <n v="0.4"/>
    <n v="4177.6000000000004"/>
    <x v="0"/>
    <x v="2"/>
    <s v="Annual"/>
  </r>
  <r>
    <d v="2024-07-22T00:00:00"/>
    <x v="6"/>
    <x v="1"/>
    <s v="Noura Rashid"/>
    <s v="Individual"/>
    <x v="3"/>
    <x v="1"/>
    <x v="4"/>
    <n v="9128"/>
    <n v="0.35"/>
    <n v="3194.7999999999997"/>
    <x v="1"/>
    <x v="2"/>
    <s v="Monthly"/>
  </r>
  <r>
    <d v="2024-07-26T00:00:00"/>
    <x v="6"/>
    <x v="1"/>
    <s v="Nexa Core"/>
    <s v="Company"/>
    <x v="0"/>
    <x v="0"/>
    <x v="2"/>
    <n v="12227"/>
    <n v="0.3"/>
    <n v="3668.1"/>
    <x v="0"/>
    <x v="0"/>
    <s v="Monthly"/>
  </r>
  <r>
    <d v="2024-07-26T00:00:00"/>
    <x v="6"/>
    <x v="1"/>
    <s v="Fatima Saeed"/>
    <s v="Individual"/>
    <x v="4"/>
    <x v="2"/>
    <x v="0"/>
    <n v="11606"/>
    <n v="0.25"/>
    <n v="2901.5"/>
    <x v="1"/>
    <x v="0"/>
    <s v="Annual"/>
  </r>
  <r>
    <d v="2024-07-27T00:00:00"/>
    <x v="6"/>
    <x v="1"/>
    <s v="Fatima Saeed"/>
    <s v="Individual"/>
    <x v="3"/>
    <x v="1"/>
    <x v="0"/>
    <n v="8223"/>
    <n v="0.35"/>
    <n v="2878.0499999999997"/>
    <x v="0"/>
    <x v="1"/>
    <s v="Bi Annual"/>
  </r>
  <r>
    <d v="2024-07-29T00:00:00"/>
    <x v="6"/>
    <x v="1"/>
    <s v="Altura Networks"/>
    <s v="Company"/>
    <x v="0"/>
    <x v="0"/>
    <x v="3"/>
    <n v="8418"/>
    <n v="0.3"/>
    <n v="2525.4"/>
    <x v="0"/>
    <x v="1"/>
    <s v="Annual"/>
  </r>
  <r>
    <d v="2024-07-29T00:00:00"/>
    <x v="6"/>
    <x v="1"/>
    <s v="Synergenix Labs"/>
    <s v="Company"/>
    <x v="4"/>
    <x v="2"/>
    <x v="1"/>
    <n v="12124"/>
    <n v="0.25"/>
    <n v="3031"/>
    <x v="0"/>
    <x v="1"/>
    <s v="Monthly"/>
  </r>
  <r>
    <d v="2024-07-31T00:00:00"/>
    <x v="6"/>
    <x v="1"/>
    <s v="Layla Al Dhanhani"/>
    <s v="Individual"/>
    <x v="3"/>
    <x v="1"/>
    <x v="4"/>
    <n v="8914"/>
    <n v="0.35"/>
    <n v="3119.8999999999996"/>
    <x v="0"/>
    <x v="2"/>
    <s v="Bi Annual"/>
  </r>
  <r>
    <d v="2024-08-02T00:00:00"/>
    <x v="7"/>
    <x v="1"/>
    <s v="Rania Omar"/>
    <s v="Individual"/>
    <x v="4"/>
    <x v="2"/>
    <x v="4"/>
    <n v="9798"/>
    <n v="0.25"/>
    <n v="2449.5"/>
    <x v="1"/>
    <x v="0"/>
    <s v="Quarterly"/>
  </r>
  <r>
    <d v="2024-08-03T00:00:00"/>
    <x v="7"/>
    <x v="1"/>
    <s v="Vantoro Enterprises"/>
    <s v="Company"/>
    <x v="0"/>
    <x v="0"/>
    <x v="0"/>
    <n v="11567"/>
    <n v="0.3"/>
    <n v="3470.1"/>
    <x v="1"/>
    <x v="2"/>
    <s v="Quarterly"/>
  </r>
  <r>
    <d v="2024-08-05T00:00:00"/>
    <x v="7"/>
    <x v="1"/>
    <s v="Zephyr Industries"/>
    <s v="Company"/>
    <x v="2"/>
    <x v="1"/>
    <x v="2"/>
    <n v="10695"/>
    <n v="0.4"/>
    <n v="4278"/>
    <x v="0"/>
    <x v="1"/>
    <s v="Bi Annual"/>
  </r>
  <r>
    <d v="2024-08-08T00:00:00"/>
    <x v="7"/>
    <x v="1"/>
    <s v="Sarah Ahmed"/>
    <s v="Individual"/>
    <x v="0"/>
    <x v="0"/>
    <x v="2"/>
    <n v="8172"/>
    <n v="0.3"/>
    <n v="2451.6"/>
    <x v="0"/>
    <x v="2"/>
    <s v="Monthly"/>
  </r>
  <r>
    <d v="2024-08-09T00:00:00"/>
    <x v="7"/>
    <x v="1"/>
    <s v="Synergenix Labs"/>
    <s v="Company"/>
    <x v="4"/>
    <x v="2"/>
    <x v="2"/>
    <n v="11861"/>
    <n v="0.25"/>
    <n v="2965.25"/>
    <x v="1"/>
    <x v="1"/>
    <s v="Annual"/>
  </r>
  <r>
    <d v="2024-08-10T00:00:00"/>
    <x v="7"/>
    <x v="1"/>
    <s v="Octavium Digital"/>
    <s v="Company"/>
    <x v="1"/>
    <x v="0"/>
    <x v="3"/>
    <n v="9891"/>
    <n v="0.25"/>
    <n v="2472.75"/>
    <x v="0"/>
    <x v="1"/>
    <s v="Quarterly"/>
  </r>
  <r>
    <d v="2024-08-10T00:00:00"/>
    <x v="7"/>
    <x v="1"/>
    <s v="Omar Ali"/>
    <s v="Individual"/>
    <x v="3"/>
    <x v="1"/>
    <x v="4"/>
    <n v="8926"/>
    <n v="0.35"/>
    <n v="3124.1"/>
    <x v="1"/>
    <x v="1"/>
    <s v="Bi Annual"/>
  </r>
  <r>
    <d v="2024-08-12T00:00:00"/>
    <x v="7"/>
    <x v="1"/>
    <s v="Yousuf Al Marri"/>
    <s v="Individual"/>
    <x v="1"/>
    <x v="0"/>
    <x v="4"/>
    <n v="8360"/>
    <n v="0.25"/>
    <n v="2090"/>
    <x v="1"/>
    <x v="1"/>
    <s v="Annual"/>
  </r>
  <r>
    <d v="2024-08-13T00:00:00"/>
    <x v="7"/>
    <x v="1"/>
    <s v="Synergenix Labs"/>
    <s v="Company"/>
    <x v="3"/>
    <x v="1"/>
    <x v="2"/>
    <n v="11824"/>
    <n v="0.35"/>
    <n v="4138.3999999999996"/>
    <x v="1"/>
    <x v="2"/>
    <s v="Bi Annual"/>
  </r>
  <r>
    <d v="2024-08-15T00:00:00"/>
    <x v="7"/>
    <x v="1"/>
    <s v="Octavium Digital"/>
    <s v="Company"/>
    <x v="4"/>
    <x v="2"/>
    <x v="0"/>
    <n v="8742"/>
    <n v="0.25"/>
    <n v="2185.5"/>
    <x v="0"/>
    <x v="0"/>
    <s v="Monthly"/>
  </r>
  <r>
    <d v="2024-08-17T00:00:00"/>
    <x v="7"/>
    <x v="1"/>
    <s v="Synergenix Labs"/>
    <s v="Company"/>
    <x v="3"/>
    <x v="1"/>
    <x v="0"/>
    <n v="10770"/>
    <n v="0.35"/>
    <n v="3769.4999999999995"/>
    <x v="0"/>
    <x v="0"/>
    <s v="Annual"/>
  </r>
  <r>
    <d v="2024-08-18T00:00:00"/>
    <x v="7"/>
    <x v="1"/>
    <s v="Saeed Al Saeed"/>
    <s v="Individual"/>
    <x v="4"/>
    <x v="2"/>
    <x v="0"/>
    <n v="9302"/>
    <n v="0.25"/>
    <n v="2325.5"/>
    <x v="0"/>
    <x v="1"/>
    <s v="Monthly"/>
  </r>
  <r>
    <d v="2024-08-19T00:00:00"/>
    <x v="7"/>
    <x v="1"/>
    <s v="Fatima Saeed"/>
    <s v="Individual"/>
    <x v="1"/>
    <x v="0"/>
    <x v="3"/>
    <n v="12168"/>
    <n v="0.25"/>
    <n v="3042"/>
    <x v="0"/>
    <x v="2"/>
    <s v="Quarterly"/>
  </r>
  <r>
    <d v="2024-08-20T00:00:00"/>
    <x v="7"/>
    <x v="1"/>
    <s v="Sarah Ahmed"/>
    <s v="Individual"/>
    <x v="1"/>
    <x v="0"/>
    <x v="2"/>
    <n v="10185"/>
    <n v="0.25"/>
    <n v="2546.25"/>
    <x v="0"/>
    <x v="2"/>
    <s v="Quarterly"/>
  </r>
  <r>
    <d v="2024-08-25T00:00:00"/>
    <x v="7"/>
    <x v="1"/>
    <s v="Tariq Al Zahrani"/>
    <s v="Individual"/>
    <x v="4"/>
    <x v="2"/>
    <x v="2"/>
    <n v="8728"/>
    <n v="0.25"/>
    <n v="2182"/>
    <x v="1"/>
    <x v="1"/>
    <s v="Bi Annual"/>
  </r>
  <r>
    <d v="2024-08-26T00:00:00"/>
    <x v="7"/>
    <x v="1"/>
    <s v="Noura Rashid"/>
    <s v="Individual"/>
    <x v="4"/>
    <x v="2"/>
    <x v="2"/>
    <n v="7600"/>
    <n v="0.25"/>
    <n v="1900"/>
    <x v="0"/>
    <x v="2"/>
    <s v="Annual"/>
  </r>
  <r>
    <d v="2024-08-27T00:00:00"/>
    <x v="7"/>
    <x v="1"/>
    <s v="Vantoro Enterprises"/>
    <s v="Company"/>
    <x v="1"/>
    <x v="0"/>
    <x v="2"/>
    <n v="11230"/>
    <n v="0.25"/>
    <n v="2807.5"/>
    <x v="0"/>
    <x v="0"/>
    <s v="Quarterly"/>
  </r>
  <r>
    <d v="2024-08-28T00:00:00"/>
    <x v="7"/>
    <x v="1"/>
    <s v="Octavium Digital"/>
    <s v="Company"/>
    <x v="2"/>
    <x v="1"/>
    <x v="2"/>
    <n v="10417"/>
    <n v="0.4"/>
    <n v="4166.8"/>
    <x v="0"/>
    <x v="0"/>
    <s v="Bi Annual"/>
  </r>
  <r>
    <d v="2024-08-29T00:00:00"/>
    <x v="7"/>
    <x v="1"/>
    <s v="Synergenix Labs"/>
    <s v="Company"/>
    <x v="4"/>
    <x v="2"/>
    <x v="4"/>
    <n v="12228"/>
    <n v="0.25"/>
    <n v="3057"/>
    <x v="0"/>
    <x v="2"/>
    <s v="Annual"/>
  </r>
  <r>
    <d v="2024-08-30T00:00:00"/>
    <x v="7"/>
    <x v="1"/>
    <s v="Basma Nasser"/>
    <s v="Individual"/>
    <x v="3"/>
    <x v="1"/>
    <x v="0"/>
    <n v="7994"/>
    <n v="0.35"/>
    <n v="2797.8999999999996"/>
    <x v="1"/>
    <x v="1"/>
    <s v="Bi Annual"/>
  </r>
  <r>
    <d v="2024-09-01T00:00:00"/>
    <x v="8"/>
    <x v="1"/>
    <s v="InfiNova Technologies"/>
    <s v="Company"/>
    <x v="3"/>
    <x v="1"/>
    <x v="0"/>
    <n v="7821"/>
    <n v="0.35"/>
    <n v="2737.35"/>
    <x v="1"/>
    <x v="2"/>
    <s v="Quarterly"/>
  </r>
  <r>
    <d v="2024-09-01T00:00:00"/>
    <x v="8"/>
    <x v="1"/>
    <s v="Stratoscope"/>
    <s v="Company"/>
    <x v="1"/>
    <x v="0"/>
    <x v="2"/>
    <n v="8307"/>
    <n v="0.25"/>
    <n v="2076.75"/>
    <x v="0"/>
    <x v="1"/>
    <s v="Annual"/>
  </r>
  <r>
    <d v="2024-09-01T00:00:00"/>
    <x v="8"/>
    <x v="1"/>
    <s v="Jamal Al Maktoum"/>
    <s v="Individual"/>
    <x v="1"/>
    <x v="0"/>
    <x v="1"/>
    <n v="12123"/>
    <n v="0.25"/>
    <n v="3030.75"/>
    <x v="1"/>
    <x v="0"/>
    <s v="Monthly"/>
  </r>
  <r>
    <d v="2024-09-02T00:00:00"/>
    <x v="8"/>
    <x v="1"/>
    <s v="Quanta Sphere Tech"/>
    <s v="Company"/>
    <x v="4"/>
    <x v="2"/>
    <x v="3"/>
    <n v="9011"/>
    <n v="0.25"/>
    <n v="2252.75"/>
    <x v="1"/>
    <x v="2"/>
    <s v="Bi Annual"/>
  </r>
  <r>
    <d v="2024-09-02T00:00:00"/>
    <x v="8"/>
    <x v="1"/>
    <s v="Fatima Saeed"/>
    <s v="Individual"/>
    <x v="2"/>
    <x v="1"/>
    <x v="3"/>
    <n v="7838"/>
    <n v="0.4"/>
    <n v="3135.2000000000003"/>
    <x v="0"/>
    <x v="2"/>
    <s v="Annual"/>
  </r>
  <r>
    <d v="2024-09-04T00:00:00"/>
    <x v="8"/>
    <x v="1"/>
    <s v="Altura Networks"/>
    <s v="Company"/>
    <x v="4"/>
    <x v="2"/>
    <x v="2"/>
    <n v="8749"/>
    <n v="0.25"/>
    <n v="2187.25"/>
    <x v="1"/>
    <x v="1"/>
    <s v="Monthly"/>
  </r>
  <r>
    <d v="2024-09-05T00:00:00"/>
    <x v="8"/>
    <x v="1"/>
    <s v="Yousuf Al Marri"/>
    <s v="Individual"/>
    <x v="0"/>
    <x v="0"/>
    <x v="3"/>
    <n v="10186"/>
    <n v="0.3"/>
    <n v="3055.7999999999997"/>
    <x v="1"/>
    <x v="2"/>
    <s v="Monthly"/>
  </r>
  <r>
    <d v="2024-09-07T00:00:00"/>
    <x v="8"/>
    <x v="1"/>
    <s v="InfiNova Technologies"/>
    <s v="Company"/>
    <x v="4"/>
    <x v="2"/>
    <x v="4"/>
    <n v="10716"/>
    <n v="0.25"/>
    <n v="2679"/>
    <x v="0"/>
    <x v="1"/>
    <s v="Bi Annual"/>
  </r>
  <r>
    <d v="2024-09-08T00:00:00"/>
    <x v="8"/>
    <x v="1"/>
    <s v="Ali Juma"/>
    <s v="Individual"/>
    <x v="3"/>
    <x v="1"/>
    <x v="0"/>
    <n v="7772"/>
    <n v="0.35"/>
    <n v="2720.2"/>
    <x v="0"/>
    <x v="1"/>
    <s v="Quarterly"/>
  </r>
  <r>
    <d v="2024-09-08T00:00:00"/>
    <x v="8"/>
    <x v="1"/>
    <s v="Rania Omar"/>
    <s v="Individual"/>
    <x v="0"/>
    <x v="0"/>
    <x v="3"/>
    <n v="10727"/>
    <n v="0.3"/>
    <n v="3218.1"/>
    <x v="0"/>
    <x v="1"/>
    <s v="Quarterly"/>
  </r>
  <r>
    <d v="2024-09-09T00:00:00"/>
    <x v="8"/>
    <x v="1"/>
    <s v="Quanta Sphere Tech"/>
    <s v="Company"/>
    <x v="0"/>
    <x v="0"/>
    <x v="3"/>
    <n v="9692"/>
    <n v="0.3"/>
    <n v="2907.6"/>
    <x v="1"/>
    <x v="0"/>
    <s v="Monthly"/>
  </r>
  <r>
    <d v="2024-09-09T00:00:00"/>
    <x v="8"/>
    <x v="1"/>
    <s v="Tariq Al Zahrani"/>
    <s v="Individual"/>
    <x v="1"/>
    <x v="0"/>
    <x v="1"/>
    <n v="7719"/>
    <n v="0.25"/>
    <n v="1929.75"/>
    <x v="0"/>
    <x v="0"/>
    <s v="Monthly"/>
  </r>
  <r>
    <d v="2024-09-11T00:00:00"/>
    <x v="8"/>
    <x v="1"/>
    <s v="Saeed Al Saeed"/>
    <s v="Individual"/>
    <x v="2"/>
    <x v="1"/>
    <x v="2"/>
    <n v="10696"/>
    <n v="0.4"/>
    <n v="4278.4000000000005"/>
    <x v="1"/>
    <x v="0"/>
    <s v="Annual"/>
  </r>
  <r>
    <d v="2024-09-17T00:00:00"/>
    <x v="8"/>
    <x v="1"/>
    <s v="Quanta Sphere Tech"/>
    <s v="Company"/>
    <x v="3"/>
    <x v="1"/>
    <x v="4"/>
    <n v="8937"/>
    <n v="0.35"/>
    <n v="3127.95"/>
    <x v="0"/>
    <x v="0"/>
    <s v="Bi Annual"/>
  </r>
  <r>
    <d v="2024-09-21T00:00:00"/>
    <x v="8"/>
    <x v="1"/>
    <s v="Sarah Ahmed"/>
    <s v="Individual"/>
    <x v="4"/>
    <x v="2"/>
    <x v="1"/>
    <n v="8073"/>
    <n v="0.25"/>
    <n v="2018.25"/>
    <x v="1"/>
    <x v="0"/>
    <s v="Monthly"/>
  </r>
  <r>
    <d v="2024-09-23T00:00:00"/>
    <x v="8"/>
    <x v="1"/>
    <s v="Ali Juma"/>
    <s v="Individual"/>
    <x v="4"/>
    <x v="2"/>
    <x v="4"/>
    <n v="8022"/>
    <n v="0.25"/>
    <n v="2005.5"/>
    <x v="0"/>
    <x v="1"/>
    <s v="Quarterly"/>
  </r>
  <r>
    <d v="2024-09-27T00:00:00"/>
    <x v="8"/>
    <x v="1"/>
    <s v="Solvium Solutions"/>
    <s v="Company"/>
    <x v="1"/>
    <x v="0"/>
    <x v="2"/>
    <n v="8595"/>
    <n v="0.25"/>
    <n v="2148.75"/>
    <x v="0"/>
    <x v="0"/>
    <s v="Bi Annual"/>
  </r>
  <r>
    <d v="2024-09-27T00:00:00"/>
    <x v="8"/>
    <x v="1"/>
    <s v="Jamal Al Maktoum"/>
    <s v="Individual"/>
    <x v="2"/>
    <x v="1"/>
    <x v="2"/>
    <n v="11394"/>
    <n v="0.4"/>
    <n v="4557.6000000000004"/>
    <x v="0"/>
    <x v="2"/>
    <s v="Bi Annual"/>
  </r>
  <r>
    <d v="2024-09-28T00:00:00"/>
    <x v="8"/>
    <x v="1"/>
    <s v="Vantoro Enterprises"/>
    <s v="Company"/>
    <x v="4"/>
    <x v="2"/>
    <x v="4"/>
    <n v="10952"/>
    <n v="0.25"/>
    <n v="2738"/>
    <x v="0"/>
    <x v="2"/>
    <s v="Annual"/>
  </r>
  <r>
    <d v="2024-09-29T00:00:00"/>
    <x v="8"/>
    <x v="1"/>
    <s v="Altura Networks"/>
    <s v="Company"/>
    <x v="3"/>
    <x v="1"/>
    <x v="1"/>
    <n v="10647"/>
    <n v="0.35"/>
    <n v="3726.45"/>
    <x v="1"/>
    <x v="0"/>
    <s v="Quarterly"/>
  </r>
  <r>
    <d v="2024-10-02T00:00:00"/>
    <x v="9"/>
    <x v="1"/>
    <s v="Synergenix Labs"/>
    <s v="Company"/>
    <x v="3"/>
    <x v="1"/>
    <x v="2"/>
    <n v="12237"/>
    <n v="0.35"/>
    <n v="4282.95"/>
    <x v="1"/>
    <x v="2"/>
    <s v="Quarterly"/>
  </r>
  <r>
    <d v="2024-10-05T00:00:00"/>
    <x v="9"/>
    <x v="1"/>
    <s v="Khaled Al Farsi"/>
    <s v="Individual"/>
    <x v="2"/>
    <x v="1"/>
    <x v="2"/>
    <n v="7697"/>
    <n v="0.4"/>
    <n v="3078.8"/>
    <x v="0"/>
    <x v="0"/>
    <s v="Quarterly"/>
  </r>
  <r>
    <d v="2024-10-08T00:00:00"/>
    <x v="9"/>
    <x v="1"/>
    <s v="Aetherion Systems"/>
    <s v="Company"/>
    <x v="3"/>
    <x v="1"/>
    <x v="0"/>
    <n v="10561"/>
    <n v="0.35"/>
    <n v="3696.35"/>
    <x v="1"/>
    <x v="2"/>
    <s v="Quarterly"/>
  </r>
  <r>
    <d v="2024-10-09T00:00:00"/>
    <x v="9"/>
    <x v="1"/>
    <s v="Vantoro Enterprises"/>
    <s v="Company"/>
    <x v="3"/>
    <x v="1"/>
    <x v="1"/>
    <n v="9113"/>
    <n v="0.35"/>
    <n v="3189.5499999999997"/>
    <x v="0"/>
    <x v="2"/>
    <s v="Monthly"/>
  </r>
  <r>
    <d v="2024-10-12T00:00:00"/>
    <x v="9"/>
    <x v="1"/>
    <s v="Hanan Al Khatri"/>
    <s v="Individual"/>
    <x v="3"/>
    <x v="1"/>
    <x v="4"/>
    <n v="11072"/>
    <n v="0.35"/>
    <n v="3875.2"/>
    <x v="0"/>
    <x v="2"/>
    <s v="Annual"/>
  </r>
  <r>
    <d v="2024-10-13T00:00:00"/>
    <x v="9"/>
    <x v="1"/>
    <s v="Synergenix Labs"/>
    <s v="Company"/>
    <x v="4"/>
    <x v="2"/>
    <x v="3"/>
    <n v="11431"/>
    <n v="0.25"/>
    <n v="2857.75"/>
    <x v="0"/>
    <x v="1"/>
    <s v="Annual"/>
  </r>
  <r>
    <d v="2024-10-13T00:00:00"/>
    <x v="9"/>
    <x v="1"/>
    <s v="Quanta Sphere Tech"/>
    <s v="Company"/>
    <x v="4"/>
    <x v="2"/>
    <x v="2"/>
    <n v="8292"/>
    <n v="0.25"/>
    <n v="2073"/>
    <x v="1"/>
    <x v="2"/>
    <s v="Annual"/>
  </r>
  <r>
    <d v="2024-10-16T00:00:00"/>
    <x v="9"/>
    <x v="1"/>
    <s v="Synergenix Labs"/>
    <s v="Company"/>
    <x v="2"/>
    <x v="1"/>
    <x v="3"/>
    <n v="9766"/>
    <n v="0.4"/>
    <n v="3906.4"/>
    <x v="0"/>
    <x v="0"/>
    <s v="Monthly"/>
  </r>
  <r>
    <d v="2024-10-17T00:00:00"/>
    <x v="9"/>
    <x v="1"/>
    <s v="Octavium Digital"/>
    <s v="Company"/>
    <x v="1"/>
    <x v="0"/>
    <x v="2"/>
    <n v="12273"/>
    <n v="0.25"/>
    <n v="3068.25"/>
    <x v="0"/>
    <x v="2"/>
    <s v="Bi Annual"/>
  </r>
  <r>
    <d v="2024-10-18T00:00:00"/>
    <x v="9"/>
    <x v="1"/>
    <s v="Altura Networks"/>
    <s v="Company"/>
    <x v="3"/>
    <x v="1"/>
    <x v="2"/>
    <n v="9992"/>
    <n v="0.35"/>
    <n v="3497.2"/>
    <x v="0"/>
    <x v="0"/>
    <s v="Bi Annual"/>
  </r>
  <r>
    <d v="2024-10-19T00:00:00"/>
    <x v="9"/>
    <x v="1"/>
    <s v="Mariam Al Shamsi"/>
    <s v="Individual"/>
    <x v="2"/>
    <x v="1"/>
    <x v="0"/>
    <n v="9750"/>
    <n v="0.4"/>
    <n v="3900"/>
    <x v="1"/>
    <x v="2"/>
    <s v="Annual"/>
  </r>
  <r>
    <d v="2024-10-22T00:00:00"/>
    <x v="9"/>
    <x v="1"/>
    <s v="Mona Al Humaidi"/>
    <s v="Individual"/>
    <x v="4"/>
    <x v="2"/>
    <x v="1"/>
    <n v="12051"/>
    <n v="0.25"/>
    <n v="3012.75"/>
    <x v="1"/>
    <x v="1"/>
    <s v="Monthly"/>
  </r>
  <r>
    <d v="2024-10-22T00:00:00"/>
    <x v="9"/>
    <x v="1"/>
    <s v="Zayed Al Nuaimi"/>
    <s v="Individual"/>
    <x v="0"/>
    <x v="0"/>
    <x v="0"/>
    <n v="8442"/>
    <n v="0.3"/>
    <n v="2532.6"/>
    <x v="0"/>
    <x v="0"/>
    <s v="Quarterly"/>
  </r>
  <r>
    <d v="2024-10-22T00:00:00"/>
    <x v="9"/>
    <x v="1"/>
    <s v="Saeed Al Saeed"/>
    <s v="Individual"/>
    <x v="4"/>
    <x v="2"/>
    <x v="4"/>
    <n v="10526"/>
    <n v="0.25"/>
    <n v="2631.5"/>
    <x v="0"/>
    <x v="0"/>
    <s v="Monthly"/>
  </r>
  <r>
    <d v="2024-10-25T00:00:00"/>
    <x v="9"/>
    <x v="1"/>
    <s v="Hanan Al Khatri"/>
    <s v="Individual"/>
    <x v="2"/>
    <x v="1"/>
    <x v="2"/>
    <n v="10041"/>
    <n v="0.4"/>
    <n v="4016.4"/>
    <x v="0"/>
    <x v="0"/>
    <s v="Bi Annual"/>
  </r>
  <r>
    <d v="2024-10-26T00:00:00"/>
    <x v="9"/>
    <x v="1"/>
    <s v="Mariam Al Shamsi"/>
    <s v="Individual"/>
    <x v="4"/>
    <x v="2"/>
    <x v="3"/>
    <n v="10310"/>
    <n v="0.25"/>
    <n v="2577.5"/>
    <x v="0"/>
    <x v="2"/>
    <s v="Monthly"/>
  </r>
  <r>
    <d v="2024-10-28T00:00:00"/>
    <x v="9"/>
    <x v="1"/>
    <s v="Nexa Core"/>
    <s v="Company"/>
    <x v="3"/>
    <x v="1"/>
    <x v="3"/>
    <n v="11400"/>
    <n v="0.35"/>
    <n v="3989.9999999999995"/>
    <x v="1"/>
    <x v="0"/>
    <s v="Annual"/>
  </r>
  <r>
    <d v="2024-10-28T00:00:00"/>
    <x v="9"/>
    <x v="1"/>
    <s v="Octavium Digital"/>
    <s v="Company"/>
    <x v="3"/>
    <x v="1"/>
    <x v="4"/>
    <n v="9897"/>
    <n v="0.35"/>
    <n v="3463.95"/>
    <x v="1"/>
    <x v="0"/>
    <s v="Quarterly"/>
  </r>
  <r>
    <d v="2024-10-28T00:00:00"/>
    <x v="9"/>
    <x v="1"/>
    <s v="Jamal Al Maktoum"/>
    <s v="Individual"/>
    <x v="3"/>
    <x v="1"/>
    <x v="2"/>
    <n v="7923"/>
    <n v="0.35"/>
    <n v="2773.0499999999997"/>
    <x v="1"/>
    <x v="2"/>
    <s v="Bi Annual"/>
  </r>
  <r>
    <d v="2024-10-29T00:00:00"/>
    <x v="9"/>
    <x v="1"/>
    <s v="Zayed Al Nuaimi"/>
    <s v="Individual"/>
    <x v="0"/>
    <x v="0"/>
    <x v="2"/>
    <n v="11302"/>
    <n v="0.3"/>
    <n v="3390.6"/>
    <x v="1"/>
    <x v="2"/>
    <s v="Monthly"/>
  </r>
  <r>
    <d v="2024-11-04T00:00:00"/>
    <x v="10"/>
    <x v="1"/>
    <s v="Layla Al Dhanhani"/>
    <s v="Individual"/>
    <x v="3"/>
    <x v="1"/>
    <x v="0"/>
    <n v="9544"/>
    <n v="0.35"/>
    <n v="3340.3999999999996"/>
    <x v="1"/>
    <x v="1"/>
    <s v="Monthly"/>
  </r>
  <r>
    <d v="2024-11-06T00:00:00"/>
    <x v="10"/>
    <x v="1"/>
    <s v="Laila Al Mulla"/>
    <s v="Individual"/>
    <x v="2"/>
    <x v="1"/>
    <x v="1"/>
    <n v="8514"/>
    <n v="0.4"/>
    <n v="3405.6000000000004"/>
    <x v="1"/>
    <x v="0"/>
    <s v="Quarterly"/>
  </r>
  <r>
    <d v="2024-11-07T00:00:00"/>
    <x v="10"/>
    <x v="1"/>
    <s v="Solvium Solutions"/>
    <s v="Company"/>
    <x v="0"/>
    <x v="0"/>
    <x v="0"/>
    <n v="10974"/>
    <n v="0.3"/>
    <n v="3292.2"/>
    <x v="0"/>
    <x v="2"/>
    <s v="Monthly"/>
  </r>
  <r>
    <d v="2024-11-07T00:00:00"/>
    <x v="10"/>
    <x v="1"/>
    <s v="Mariam Al Shamsi"/>
    <s v="Individual"/>
    <x v="1"/>
    <x v="0"/>
    <x v="3"/>
    <n v="8571"/>
    <n v="0.25"/>
    <n v="2142.75"/>
    <x v="1"/>
    <x v="2"/>
    <s v="Monthly"/>
  </r>
  <r>
    <d v="2024-11-10T00:00:00"/>
    <x v="10"/>
    <x v="1"/>
    <s v="InfiNova Technologies"/>
    <s v="Company"/>
    <x v="2"/>
    <x v="1"/>
    <x v="3"/>
    <n v="8396"/>
    <n v="0.4"/>
    <n v="3358.4"/>
    <x v="0"/>
    <x v="1"/>
    <s v="Monthly"/>
  </r>
  <r>
    <d v="2024-11-10T00:00:00"/>
    <x v="10"/>
    <x v="1"/>
    <s v="Altura Networks"/>
    <s v="Company"/>
    <x v="1"/>
    <x v="0"/>
    <x v="0"/>
    <n v="7837"/>
    <n v="0.25"/>
    <n v="1959.25"/>
    <x v="0"/>
    <x v="0"/>
    <s v="Monthly"/>
  </r>
  <r>
    <d v="2024-11-12T00:00:00"/>
    <x v="10"/>
    <x v="1"/>
    <s v="Quanta Sphere Tech"/>
    <s v="Company"/>
    <x v="3"/>
    <x v="1"/>
    <x v="2"/>
    <n v="10358"/>
    <n v="0.35"/>
    <n v="3625.2999999999997"/>
    <x v="0"/>
    <x v="2"/>
    <s v="Bi Annual"/>
  </r>
  <r>
    <d v="2024-11-13T00:00:00"/>
    <x v="10"/>
    <x v="1"/>
    <s v="Sarah Ahmed"/>
    <s v="Individual"/>
    <x v="3"/>
    <x v="1"/>
    <x v="4"/>
    <n v="8002"/>
    <n v="0.35"/>
    <n v="2800.7"/>
    <x v="1"/>
    <x v="2"/>
    <s v="Bi Annual"/>
  </r>
  <r>
    <d v="2024-11-16T00:00:00"/>
    <x v="10"/>
    <x v="1"/>
    <s v="Zephyr Industries"/>
    <s v="Company"/>
    <x v="4"/>
    <x v="2"/>
    <x v="2"/>
    <n v="7833"/>
    <n v="0.25"/>
    <n v="1958.25"/>
    <x v="1"/>
    <x v="0"/>
    <s v="Bi Annual"/>
  </r>
  <r>
    <d v="2024-11-16T00:00:00"/>
    <x v="10"/>
    <x v="1"/>
    <s v="InfiNova Technologies"/>
    <s v="Company"/>
    <x v="0"/>
    <x v="0"/>
    <x v="4"/>
    <n v="8395"/>
    <n v="0.3"/>
    <n v="2518.5"/>
    <x v="1"/>
    <x v="2"/>
    <s v="Monthly"/>
  </r>
  <r>
    <d v="2024-11-19T00:00:00"/>
    <x v="10"/>
    <x v="1"/>
    <s v="Noura Rashid"/>
    <s v="Individual"/>
    <x v="4"/>
    <x v="2"/>
    <x v="3"/>
    <n v="8763"/>
    <n v="0.25"/>
    <n v="2190.75"/>
    <x v="0"/>
    <x v="1"/>
    <s v="Annual"/>
  </r>
  <r>
    <d v="2024-11-20T00:00:00"/>
    <x v="10"/>
    <x v="1"/>
    <s v="Zayed Al Nuaimi"/>
    <s v="Individual"/>
    <x v="4"/>
    <x v="2"/>
    <x v="2"/>
    <n v="8611"/>
    <n v="0.25"/>
    <n v="2152.75"/>
    <x v="0"/>
    <x v="2"/>
    <s v="Bi Annual"/>
  </r>
  <r>
    <d v="2024-11-21T00:00:00"/>
    <x v="10"/>
    <x v="1"/>
    <s v="Vantoro Enterprises"/>
    <s v="Company"/>
    <x v="4"/>
    <x v="2"/>
    <x v="0"/>
    <n v="9027"/>
    <n v="0.25"/>
    <n v="2256.75"/>
    <x v="1"/>
    <x v="0"/>
    <s v="Quarterly"/>
  </r>
  <r>
    <d v="2024-11-21T00:00:00"/>
    <x v="10"/>
    <x v="1"/>
    <s v="Mona Al Humaidi"/>
    <s v="Individual"/>
    <x v="4"/>
    <x v="2"/>
    <x v="2"/>
    <n v="9355"/>
    <n v="0.25"/>
    <n v="2338.75"/>
    <x v="1"/>
    <x v="0"/>
    <s v="Annual"/>
  </r>
  <r>
    <d v="2024-11-23T00:00:00"/>
    <x v="10"/>
    <x v="1"/>
    <s v="Luminex Global"/>
    <s v="Company"/>
    <x v="1"/>
    <x v="0"/>
    <x v="1"/>
    <n v="10086"/>
    <n v="0.25"/>
    <n v="2521.5"/>
    <x v="0"/>
    <x v="2"/>
    <s v="Quarterly"/>
  </r>
  <r>
    <d v="2024-11-23T00:00:00"/>
    <x v="10"/>
    <x v="1"/>
    <s v="InfiNova Technologies"/>
    <s v="Company"/>
    <x v="1"/>
    <x v="0"/>
    <x v="3"/>
    <n v="11777"/>
    <n v="0.25"/>
    <n v="2944.25"/>
    <x v="0"/>
    <x v="0"/>
    <s v="Quarterly"/>
  </r>
  <r>
    <d v="2024-11-23T00:00:00"/>
    <x v="10"/>
    <x v="1"/>
    <s v="Sarah Ahmed"/>
    <s v="Individual"/>
    <x v="0"/>
    <x v="0"/>
    <x v="3"/>
    <n v="10987"/>
    <n v="0.3"/>
    <n v="3296.1"/>
    <x v="0"/>
    <x v="2"/>
    <s v="Monthly"/>
  </r>
  <r>
    <d v="2024-11-24T00:00:00"/>
    <x v="10"/>
    <x v="1"/>
    <s v="Luminex Global"/>
    <s v="Company"/>
    <x v="4"/>
    <x v="2"/>
    <x v="4"/>
    <n v="10033"/>
    <n v="0.25"/>
    <n v="2508.25"/>
    <x v="0"/>
    <x v="0"/>
    <s v="Annual"/>
  </r>
  <r>
    <d v="2024-11-27T00:00:00"/>
    <x v="10"/>
    <x v="1"/>
    <s v="Noura Rashid"/>
    <s v="Individual"/>
    <x v="4"/>
    <x v="2"/>
    <x v="1"/>
    <n v="9393"/>
    <n v="0.25"/>
    <n v="2348.25"/>
    <x v="1"/>
    <x v="2"/>
    <s v="Quarterly"/>
  </r>
  <r>
    <d v="2024-11-30T00:00:00"/>
    <x v="10"/>
    <x v="1"/>
    <s v="Fatima Saeed"/>
    <s v="Individual"/>
    <x v="2"/>
    <x v="1"/>
    <x v="2"/>
    <n v="8047"/>
    <n v="0.4"/>
    <n v="3218.8"/>
    <x v="1"/>
    <x v="2"/>
    <s v="Annual"/>
  </r>
  <r>
    <d v="2024-12-03T00:00:00"/>
    <x v="11"/>
    <x v="1"/>
    <s v="Laila Al Mulla"/>
    <s v="Individual"/>
    <x v="3"/>
    <x v="1"/>
    <x v="1"/>
    <n v="9659"/>
    <n v="0.35"/>
    <n v="3380.6499999999996"/>
    <x v="0"/>
    <x v="0"/>
    <s v="Annual"/>
  </r>
  <r>
    <d v="2024-12-10T00:00:00"/>
    <x v="11"/>
    <x v="1"/>
    <s v="Solvium Solutions"/>
    <s v="Company"/>
    <x v="0"/>
    <x v="0"/>
    <x v="1"/>
    <n v="10862"/>
    <n v="0.3"/>
    <n v="3258.6"/>
    <x v="0"/>
    <x v="0"/>
    <s v="Bi Annual"/>
  </r>
  <r>
    <d v="2024-12-11T00:00:00"/>
    <x v="11"/>
    <x v="1"/>
    <s v="Sarah Ahmed"/>
    <s v="Individual"/>
    <x v="0"/>
    <x v="0"/>
    <x v="2"/>
    <n v="10307"/>
    <n v="0.3"/>
    <n v="3092.1"/>
    <x v="0"/>
    <x v="1"/>
    <s v="Monthly"/>
  </r>
  <r>
    <d v="2024-12-11T00:00:00"/>
    <x v="11"/>
    <x v="1"/>
    <s v="Zayed Al Nuaimi"/>
    <s v="Individual"/>
    <x v="3"/>
    <x v="1"/>
    <x v="3"/>
    <n v="8071"/>
    <n v="0.35"/>
    <n v="2824.85"/>
    <x v="1"/>
    <x v="0"/>
    <s v="Monthly"/>
  </r>
  <r>
    <d v="2024-12-14T00:00:00"/>
    <x v="11"/>
    <x v="1"/>
    <s v="Basma Nasser"/>
    <s v="Individual"/>
    <x v="4"/>
    <x v="2"/>
    <x v="3"/>
    <n v="11504"/>
    <n v="0.25"/>
    <n v="2876"/>
    <x v="1"/>
    <x v="2"/>
    <s v="Monthly"/>
  </r>
  <r>
    <d v="2024-12-17T00:00:00"/>
    <x v="11"/>
    <x v="1"/>
    <s v="Stratoscope"/>
    <s v="Company"/>
    <x v="2"/>
    <x v="1"/>
    <x v="2"/>
    <n v="8983"/>
    <n v="0.4"/>
    <n v="3593.2000000000003"/>
    <x v="0"/>
    <x v="0"/>
    <s v="Bi Annual"/>
  </r>
  <r>
    <d v="2024-12-17T00:00:00"/>
    <x v="11"/>
    <x v="1"/>
    <s v="Luminex Global"/>
    <s v="Company"/>
    <x v="4"/>
    <x v="2"/>
    <x v="3"/>
    <n v="11329"/>
    <n v="0.25"/>
    <n v="2832.25"/>
    <x v="0"/>
    <x v="0"/>
    <s v="Annual"/>
  </r>
  <r>
    <d v="2024-12-18T00:00:00"/>
    <x v="11"/>
    <x v="1"/>
    <s v="Stratoscope"/>
    <s v="Company"/>
    <x v="1"/>
    <x v="0"/>
    <x v="2"/>
    <n v="10036"/>
    <n v="0.25"/>
    <n v="2509"/>
    <x v="0"/>
    <x v="1"/>
    <s v="Monthly"/>
  </r>
  <r>
    <d v="2024-12-18T00:00:00"/>
    <x v="11"/>
    <x v="1"/>
    <s v="Fatima Saeed"/>
    <s v="Individual"/>
    <x v="0"/>
    <x v="0"/>
    <x v="0"/>
    <n v="7860"/>
    <n v="0.3"/>
    <n v="2358"/>
    <x v="0"/>
    <x v="0"/>
    <s v="Quarterly"/>
  </r>
  <r>
    <d v="2024-12-18T00:00:00"/>
    <x v="11"/>
    <x v="1"/>
    <s v="Jamal Al Maktoum"/>
    <s v="Individual"/>
    <x v="4"/>
    <x v="2"/>
    <x v="0"/>
    <n v="10855"/>
    <n v="0.25"/>
    <n v="2713.75"/>
    <x v="0"/>
    <x v="1"/>
    <s v="Annual"/>
  </r>
  <r>
    <d v="2024-12-19T00:00:00"/>
    <x v="11"/>
    <x v="1"/>
    <s v="Aetherion Systems"/>
    <s v="Company"/>
    <x v="0"/>
    <x v="0"/>
    <x v="2"/>
    <n v="10077"/>
    <n v="0.3"/>
    <n v="3023.1"/>
    <x v="0"/>
    <x v="2"/>
    <s v="Annual"/>
  </r>
  <r>
    <d v="2024-12-24T00:00:00"/>
    <x v="11"/>
    <x v="1"/>
    <s v="Vantoro Enterprises"/>
    <s v="Company"/>
    <x v="2"/>
    <x v="1"/>
    <x v="3"/>
    <n v="11309"/>
    <n v="0.4"/>
    <n v="4523.6000000000004"/>
    <x v="0"/>
    <x v="0"/>
    <s v="Quarterly"/>
  </r>
  <r>
    <d v="2024-12-24T00:00:00"/>
    <x v="11"/>
    <x v="1"/>
    <s v="Nexa Core"/>
    <s v="Company"/>
    <x v="0"/>
    <x v="0"/>
    <x v="2"/>
    <n v="9219"/>
    <n v="0.3"/>
    <n v="2765.7"/>
    <x v="0"/>
    <x v="2"/>
    <s v="Bi Annual"/>
  </r>
  <r>
    <d v="2024-12-24T00:00:00"/>
    <x v="11"/>
    <x v="1"/>
    <s v="Luminex Global"/>
    <s v="Company"/>
    <x v="1"/>
    <x v="0"/>
    <x v="0"/>
    <n v="7514"/>
    <n v="0.25"/>
    <n v="1878.5"/>
    <x v="0"/>
    <x v="1"/>
    <s v="Monthly"/>
  </r>
  <r>
    <d v="2024-12-24T00:00:00"/>
    <x v="11"/>
    <x v="1"/>
    <s v="Tariq Al Zahrani"/>
    <s v="Individual"/>
    <x v="0"/>
    <x v="0"/>
    <x v="4"/>
    <n v="8803"/>
    <n v="0.3"/>
    <n v="2640.9"/>
    <x v="1"/>
    <x v="2"/>
    <s v="Annual"/>
  </r>
  <r>
    <d v="2024-12-25T00:00:00"/>
    <x v="11"/>
    <x v="1"/>
    <s v="InfiNova Technologies"/>
    <s v="Company"/>
    <x v="3"/>
    <x v="1"/>
    <x v="0"/>
    <n v="9148"/>
    <n v="0.35"/>
    <n v="3201.7999999999997"/>
    <x v="1"/>
    <x v="0"/>
    <s v="Annual"/>
  </r>
  <r>
    <d v="2024-12-27T00:00:00"/>
    <x v="11"/>
    <x v="1"/>
    <s v="Zayed Al Nuaimi"/>
    <s v="Individual"/>
    <x v="3"/>
    <x v="1"/>
    <x v="0"/>
    <n v="8041"/>
    <n v="0.35"/>
    <n v="2814.35"/>
    <x v="0"/>
    <x v="0"/>
    <s v="Bi Annual"/>
  </r>
  <r>
    <d v="2024-12-27T00:00:00"/>
    <x v="11"/>
    <x v="1"/>
    <s v="Mona Al Humaidi"/>
    <s v="Individual"/>
    <x v="2"/>
    <x v="1"/>
    <x v="1"/>
    <n v="11892"/>
    <n v="0.4"/>
    <n v="4756.8"/>
    <x v="0"/>
    <x v="2"/>
    <s v="Monthly"/>
  </r>
  <r>
    <d v="2024-12-28T00:00:00"/>
    <x v="11"/>
    <x v="1"/>
    <s v="Ahmed Yousuf"/>
    <s v="Individual"/>
    <x v="3"/>
    <x v="1"/>
    <x v="2"/>
    <n v="12054"/>
    <n v="0.35"/>
    <n v="4218.8999999999996"/>
    <x v="0"/>
    <x v="2"/>
    <s v="Bi Annual"/>
  </r>
  <r>
    <d v="2024-12-31T00:00:00"/>
    <x v="11"/>
    <x v="1"/>
    <s v="InfiNova Technologies"/>
    <s v="Company"/>
    <x v="3"/>
    <x v="1"/>
    <x v="1"/>
    <n v="11701"/>
    <n v="0.35"/>
    <n v="4095.35"/>
    <x v="0"/>
    <x v="0"/>
    <s v="Quarterly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s v="Jan"/>
    <s v="2023"/>
    <s v="Nexa Core"/>
    <s v="Company"/>
    <s v="Social Media"/>
    <s v="Marketing"/>
    <s v="Al Ain"/>
    <n v="3125"/>
    <n v="0.3"/>
    <n v="937.5"/>
    <s v="Repeat Sale"/>
    <s v="Walk in"/>
    <s v="Annual"/>
  </r>
  <r>
    <d v="2023-01-01T00:00:00"/>
    <s v="Jan"/>
    <s v="2023"/>
    <s v="Sami Al Shamsi"/>
    <s v="Individual"/>
    <s v="Ads"/>
    <s v="Marketing"/>
    <s v="Ajman"/>
    <n v="3635"/>
    <n v="0.25"/>
    <n v="908.75"/>
    <s v="New Sale"/>
    <s v="Ads"/>
    <s v="Annual"/>
  </r>
  <r>
    <d v="2023-01-01T00:00:00"/>
    <s v="Jan"/>
    <s v="2023"/>
    <s v="Hanan Al Khatri"/>
    <s v="Individual"/>
    <s v="Social Media"/>
    <s v="Marketing"/>
    <s v="Dubai"/>
    <n v="3291"/>
    <n v="0.3"/>
    <n v="987.3"/>
    <s v="Repeat Sale"/>
    <s v="Ads"/>
    <s v="Bi Annual"/>
  </r>
  <r>
    <d v="2023-01-02T00:00:00"/>
    <s v="Jan"/>
    <s v="2023"/>
    <s v="Tariq Al Zahrani"/>
    <s v="Individual"/>
    <s v="App Dev"/>
    <s v="Design"/>
    <s v="Abu Dhabi"/>
    <n v="3668"/>
    <n v="0.4"/>
    <n v="1467.2"/>
    <s v="New Sale"/>
    <s v="Ads"/>
    <s v="Quarterly"/>
  </r>
  <r>
    <d v="2023-01-07T00:00:00"/>
    <s v="Jan"/>
    <s v="2023"/>
    <s v="Layla Al Dhanhani"/>
    <s v="Individual"/>
    <s v="Ads"/>
    <s v="Marketing"/>
    <s v="Abu Dhabi"/>
    <n v="3970"/>
    <n v="0.25"/>
    <n v="992.5"/>
    <s v="Repeat Sale"/>
    <s v="Walk in"/>
    <s v="Quarterly"/>
  </r>
  <r>
    <d v="2023-01-12T00:00:00"/>
    <s v="Jan"/>
    <s v="2023"/>
    <s v="Synergenix Labs"/>
    <s v="Company"/>
    <s v="Social Media"/>
    <s v="Marketing"/>
    <s v="Dubai"/>
    <n v="2739"/>
    <n v="0.3"/>
    <n v="821.69999999999993"/>
    <s v="New Sale"/>
    <s v="Ads"/>
    <s v="Monthly"/>
  </r>
  <r>
    <d v="2023-01-12T00:00:00"/>
    <s v="Jan"/>
    <s v="2023"/>
    <s v="Omar Ali"/>
    <s v="Individual"/>
    <s v="Web Dev"/>
    <s v="Design"/>
    <s v="Abu Dhabi"/>
    <n v="2420"/>
    <n v="0.35"/>
    <n v="847"/>
    <s v="Repeat Sale"/>
    <s v="Walk in"/>
    <s v="Bi Annual"/>
  </r>
  <r>
    <d v="2023-01-13T00:00:00"/>
    <s v="Jan"/>
    <s v="2023"/>
    <s v="Aetherion Systems"/>
    <s v="Company"/>
    <s v="SEO"/>
    <s v="Copywriting"/>
    <s v="Sharjah"/>
    <n v="4802"/>
    <n v="0.25"/>
    <n v="1200.5"/>
    <s v="Repeat Sale"/>
    <s v="Walk in"/>
    <s v="Annual"/>
  </r>
  <r>
    <d v="2023-01-14T00:00:00"/>
    <s v="Jan"/>
    <s v="2023"/>
    <s v="Aetherion Systems"/>
    <s v="Company"/>
    <s v="App Dev"/>
    <s v="Design"/>
    <s v="Al Ain"/>
    <n v="2620"/>
    <n v="0.4"/>
    <n v="1048"/>
    <s v="New Sale"/>
    <s v="Ads"/>
    <s v="Bi Annual"/>
  </r>
  <r>
    <d v="2023-01-16T00:00:00"/>
    <s v="Jan"/>
    <s v="2023"/>
    <s v="Basma Nasser"/>
    <s v="Individual"/>
    <s v="Web Dev"/>
    <s v="Design"/>
    <s v="Al Ain"/>
    <n v="5593"/>
    <n v="0.35"/>
    <n v="1957.55"/>
    <s v="Repeat Sale"/>
    <s v="Ads"/>
    <s v="Quarterly"/>
  </r>
  <r>
    <d v="2023-01-18T00:00:00"/>
    <s v="Jan"/>
    <s v="2023"/>
    <s v="Aetherion Systems"/>
    <s v="Company"/>
    <s v="Ads"/>
    <s v="Marketing"/>
    <s v="Al Ain"/>
    <n v="3237"/>
    <n v="0.25"/>
    <n v="809.25"/>
    <s v="Repeat Sale"/>
    <s v="Walk in"/>
    <s v="Quarterly"/>
  </r>
  <r>
    <d v="2023-01-18T00:00:00"/>
    <s v="Jan"/>
    <s v="2023"/>
    <s v="Fatima Saeed"/>
    <s v="Individual"/>
    <s v="Social Media"/>
    <s v="Marketing"/>
    <s v="Al Ain"/>
    <n v="4985"/>
    <n v="0.3"/>
    <n v="1495.5"/>
    <s v="Repeat Sale"/>
    <s v="Walk in"/>
    <s v="Annual"/>
  </r>
  <r>
    <d v="2023-01-19T00:00:00"/>
    <s v="Jan"/>
    <s v="2023"/>
    <s v="Quanta Sphere Tech"/>
    <s v="Company"/>
    <s v="Web Dev"/>
    <s v="Design"/>
    <s v="Dubai"/>
    <n v="3886"/>
    <n v="0.35"/>
    <n v="1360.1"/>
    <s v="Repeat Sale"/>
    <s v="Organic"/>
    <s v="Annual"/>
  </r>
  <r>
    <d v="2023-01-19T00:00:00"/>
    <s v="Jan"/>
    <s v="2023"/>
    <s v="Zayed Al Nuaimi"/>
    <s v="Individual"/>
    <s v="SEO"/>
    <s v="Copywriting"/>
    <s v="Sharjah"/>
    <n v="2585"/>
    <n v="0.25"/>
    <n v="646.25"/>
    <s v="New Sale"/>
    <s v="Ads"/>
    <s v="Bi Annual"/>
  </r>
  <r>
    <d v="2023-01-21T00:00:00"/>
    <s v="Jan"/>
    <s v="2023"/>
    <s v="Stratoscope"/>
    <s v="Company"/>
    <s v="Ads"/>
    <s v="Marketing"/>
    <s v="Al Ain"/>
    <n v="4826"/>
    <n v="0.25"/>
    <n v="1206.5"/>
    <s v="New Sale"/>
    <s v="Ads"/>
    <s v="Annual"/>
  </r>
  <r>
    <d v="2023-01-22T00:00:00"/>
    <s v="Jan"/>
    <s v="2023"/>
    <s v="Luminex Global"/>
    <s v="Company"/>
    <s v="App Dev"/>
    <s v="Design"/>
    <s v="Ajman"/>
    <n v="2952"/>
    <n v="0.4"/>
    <n v="1180.8"/>
    <s v="New Sale"/>
    <s v="Organic"/>
    <s v="Bi Annual"/>
  </r>
  <r>
    <d v="2023-01-27T00:00:00"/>
    <s v="Jan"/>
    <s v="2023"/>
    <s v="Altura Networks"/>
    <s v="Company"/>
    <s v="App Dev"/>
    <s v="Design"/>
    <s v="Abu Dhabi"/>
    <n v="3704"/>
    <n v="0.4"/>
    <n v="1481.6000000000001"/>
    <s v="Repeat Sale"/>
    <s v="Ads"/>
    <s v="Bi Annual"/>
  </r>
  <r>
    <d v="2023-01-28T00:00:00"/>
    <s v="Jan"/>
    <s v="2023"/>
    <s v="Sarah Ahmed"/>
    <s v="Individual"/>
    <s v="Social Media"/>
    <s v="Marketing"/>
    <s v="Dubai"/>
    <n v="3999"/>
    <n v="0.3"/>
    <n v="1199.7"/>
    <s v="Repeat Sale"/>
    <s v="Ads"/>
    <s v="Quarterly"/>
  </r>
  <r>
    <d v="2023-01-29T00:00:00"/>
    <s v="Jan"/>
    <s v="2023"/>
    <s v="Fatima Saeed"/>
    <s v="Individual"/>
    <s v="Web Dev"/>
    <s v="Design"/>
    <s v="Dubai"/>
    <n v="3947"/>
    <n v="0.35"/>
    <n v="1381.4499999999998"/>
    <s v="Repeat Sale"/>
    <s v="Ads"/>
    <s v="Bi Annual"/>
  </r>
  <r>
    <d v="2023-01-31T00:00:00"/>
    <s v="Jan"/>
    <s v="2023"/>
    <s v="Vantoro Enterprises"/>
    <s v="Company"/>
    <s v="Web Dev"/>
    <s v="Design"/>
    <s v="Abu Dhabi"/>
    <n v="5447"/>
    <n v="0.35"/>
    <n v="1906.4499999999998"/>
    <s v="Repeat Sale"/>
    <s v="Ads"/>
    <s v="Annual"/>
  </r>
  <r>
    <d v="2023-02-01T00:00:00"/>
    <s v="Feb"/>
    <s v="2023"/>
    <s v="Sarah Ahmed"/>
    <s v="Individual"/>
    <s v="Ads"/>
    <s v="Marketing"/>
    <s v="Dubai"/>
    <n v="2811"/>
    <n v="0.25"/>
    <n v="702.75"/>
    <s v="New Sale"/>
    <s v="Organic"/>
    <s v="Annual"/>
  </r>
  <r>
    <d v="2023-02-03T00:00:00"/>
    <s v="Feb"/>
    <s v="2023"/>
    <s v="Zephyr Industries"/>
    <s v="Company"/>
    <s v="Web Dev"/>
    <s v="Design"/>
    <s v="Dubai"/>
    <n v="3190"/>
    <n v="0.35"/>
    <n v="1116.5"/>
    <s v="Repeat Sale"/>
    <s v="Walk in"/>
    <s v="Quarterly"/>
  </r>
  <r>
    <d v="2023-02-05T00:00:00"/>
    <s v="Feb"/>
    <s v="2023"/>
    <s v="Aetherion Systems"/>
    <s v="Company"/>
    <s v="Web Dev"/>
    <s v="Design"/>
    <s v="Al Ain"/>
    <n v="4578"/>
    <n v="0.35"/>
    <n v="1602.3"/>
    <s v="Repeat Sale"/>
    <s v="Organic"/>
    <s v="Monthly"/>
  </r>
  <r>
    <d v="2023-02-05T00:00:00"/>
    <s v="Feb"/>
    <s v="2023"/>
    <s v="Noura Rashid"/>
    <s v="Individual"/>
    <s v="Web Dev"/>
    <s v="Design"/>
    <s v="Sharjah"/>
    <n v="3168"/>
    <n v="0.35"/>
    <n v="1108.8"/>
    <s v="Repeat Sale"/>
    <s v="Organic"/>
    <s v="Annual"/>
  </r>
  <r>
    <d v="2023-02-09T00:00:00"/>
    <s v="Feb"/>
    <s v="2023"/>
    <s v="InfiNova Technologies"/>
    <s v="Company"/>
    <s v="SEO"/>
    <s v="Copywriting"/>
    <s v="Dubai"/>
    <n v="5585"/>
    <n v="0.25"/>
    <n v="1396.25"/>
    <s v="Repeat Sale"/>
    <s v="Ads"/>
    <s v="Quarterly"/>
  </r>
  <r>
    <d v="2023-02-13T00:00:00"/>
    <s v="Feb"/>
    <s v="2023"/>
    <s v="Luminex Global"/>
    <s v="Company"/>
    <s v="Web Dev"/>
    <s v="Design"/>
    <s v="Dubai"/>
    <n v="3445"/>
    <n v="0.35"/>
    <n v="1205.75"/>
    <s v="Repeat Sale"/>
    <s v="Organic"/>
    <s v="Annual"/>
  </r>
  <r>
    <d v="2023-02-14T00:00:00"/>
    <s v="Feb"/>
    <s v="2023"/>
    <s v="Synergenix Labs"/>
    <s v="Company"/>
    <s v="Social Media"/>
    <s v="Marketing"/>
    <s v="Dubai"/>
    <n v="2513"/>
    <n v="0.3"/>
    <n v="753.9"/>
    <s v="New Sale"/>
    <s v="Organic"/>
    <s v="Monthly"/>
  </r>
  <r>
    <d v="2023-02-14T00:00:00"/>
    <s v="Feb"/>
    <s v="2023"/>
    <s v="Basma Nasser"/>
    <s v="Individual"/>
    <s v="App Dev"/>
    <s v="Design"/>
    <s v="Abu Dhabi"/>
    <n v="3799"/>
    <n v="0.4"/>
    <n v="1519.6000000000001"/>
    <s v="New Sale"/>
    <s v="Walk in"/>
    <s v="Annual"/>
  </r>
  <r>
    <d v="2023-02-15T00:00:00"/>
    <s v="Feb"/>
    <s v="2023"/>
    <s v="Sarah Ahmed"/>
    <s v="Individual"/>
    <s v="App Dev"/>
    <s v="Design"/>
    <s v="Dubai"/>
    <n v="4170"/>
    <n v="0.4"/>
    <n v="1668"/>
    <s v="New Sale"/>
    <s v="Ads"/>
    <s v="Monthly"/>
  </r>
  <r>
    <d v="2023-02-15T00:00:00"/>
    <s v="Feb"/>
    <s v="2023"/>
    <s v="Zayed Al Nuaimi"/>
    <s v="Individual"/>
    <s v="App Dev"/>
    <s v="Design"/>
    <s v="Abu Dhabi"/>
    <n v="2951"/>
    <n v="0.4"/>
    <n v="1180.4000000000001"/>
    <s v="Repeat Sale"/>
    <s v="Ads"/>
    <s v="Bi Annual"/>
  </r>
  <r>
    <d v="2023-02-17T00:00:00"/>
    <s v="Feb"/>
    <s v="2023"/>
    <s v="Quanta Sphere Tech"/>
    <s v="Company"/>
    <s v="SEO"/>
    <s v="Copywriting"/>
    <s v="Ajman"/>
    <n v="3425"/>
    <n v="0.25"/>
    <n v="856.25"/>
    <s v="New Sale"/>
    <s v="Ads"/>
    <s v="Annual"/>
  </r>
  <r>
    <d v="2023-02-19T00:00:00"/>
    <s v="Feb"/>
    <s v="2023"/>
    <s v="Rania Omar"/>
    <s v="Individual"/>
    <s v="Web Dev"/>
    <s v="Design"/>
    <s v="Abu Dhabi"/>
    <n v="5517"/>
    <n v="0.35"/>
    <n v="1930.9499999999998"/>
    <s v="Repeat Sale"/>
    <s v="Walk in"/>
    <s v="Bi Annual"/>
  </r>
  <r>
    <d v="2023-02-20T00:00:00"/>
    <s v="Feb"/>
    <s v="2023"/>
    <s v="Aetherion Systems"/>
    <s v="Company"/>
    <s v="SEO"/>
    <s v="Copywriting"/>
    <s v="Dubai"/>
    <n v="4948"/>
    <n v="0.25"/>
    <n v="1237"/>
    <s v="New Sale"/>
    <s v="Ads"/>
    <s v="Bi Annual"/>
  </r>
  <r>
    <d v="2023-02-22T00:00:00"/>
    <s v="Feb"/>
    <s v="2023"/>
    <s v="Fatima Saeed"/>
    <s v="Individual"/>
    <s v="Social Media"/>
    <s v="Marketing"/>
    <s v="Abu Dhabi"/>
    <n v="5592"/>
    <n v="0.3"/>
    <n v="1677.6"/>
    <s v="New Sale"/>
    <s v="Organic"/>
    <s v="Annual"/>
  </r>
  <r>
    <d v="2023-02-22T00:00:00"/>
    <s v="Feb"/>
    <s v="2023"/>
    <s v="Jamal Al Maktoum"/>
    <s v="Individual"/>
    <s v="Ads"/>
    <s v="Marketing"/>
    <s v="Ajman"/>
    <n v="3116"/>
    <n v="0.25"/>
    <n v="779"/>
    <s v="Repeat Sale"/>
    <s v="Ads"/>
    <s v="Quarterly"/>
  </r>
  <r>
    <d v="2023-02-22T00:00:00"/>
    <s v="Feb"/>
    <s v="2023"/>
    <s v="Mona Al Humaidi"/>
    <s v="Individual"/>
    <s v="App Dev"/>
    <s v="Design"/>
    <s v="Abu Dhabi"/>
    <n v="2888"/>
    <n v="0.4"/>
    <n v="1155.2"/>
    <s v="Repeat Sale"/>
    <s v="Organic"/>
    <s v="Monthly"/>
  </r>
  <r>
    <d v="2023-02-26T00:00:00"/>
    <s v="Feb"/>
    <s v="2023"/>
    <s v="Zephyr Industries"/>
    <s v="Company"/>
    <s v="Web Dev"/>
    <s v="Design"/>
    <s v="Al Ain"/>
    <n v="4547"/>
    <n v="0.35"/>
    <n v="1591.4499999999998"/>
    <s v="Repeat Sale"/>
    <s v="Walk in"/>
    <s v="Bi Annual"/>
  </r>
  <r>
    <d v="2023-02-28T00:00:00"/>
    <s v="Feb"/>
    <s v="2023"/>
    <s v="Vantoro Enterprises"/>
    <s v="Company"/>
    <s v="Ads"/>
    <s v="Marketing"/>
    <s v="Ajman"/>
    <n v="3219"/>
    <n v="0.25"/>
    <n v="804.75"/>
    <s v="New Sale"/>
    <s v="Organic"/>
    <s v="Bi Annual"/>
  </r>
  <r>
    <d v="2023-02-28T00:00:00"/>
    <s v="Feb"/>
    <s v="2023"/>
    <s v="Synergenix Labs"/>
    <s v="Company"/>
    <s v="SEO"/>
    <s v="Copywriting"/>
    <s v="Sharjah"/>
    <n v="4139"/>
    <n v="0.25"/>
    <n v="1034.75"/>
    <s v="Repeat Sale"/>
    <s v="Ads"/>
    <s v="Bi Annual"/>
  </r>
  <r>
    <d v="2023-02-28T00:00:00"/>
    <s v="Feb"/>
    <s v="2023"/>
    <s v="Mariam Al Shamsi"/>
    <s v="Individual"/>
    <s v="Social Media"/>
    <s v="Marketing"/>
    <s v="Abu Dhabi"/>
    <n v="4210"/>
    <n v="0.3"/>
    <n v="1263"/>
    <s v="Repeat Sale"/>
    <s v="Ads"/>
    <s v="Quarterly"/>
  </r>
  <r>
    <d v="2023-03-01T00:00:00"/>
    <s v="Mar"/>
    <s v="2023"/>
    <s v="Yousuf Al Marri"/>
    <s v="Individual"/>
    <s v="Web Dev"/>
    <s v="Design"/>
    <s v="Ajman"/>
    <n v="4768"/>
    <n v="0.35"/>
    <n v="1668.8"/>
    <s v="New Sale"/>
    <s v="Walk in"/>
    <s v="Monthly"/>
  </r>
  <r>
    <d v="2023-03-01T00:00:00"/>
    <s v="Mar"/>
    <s v="2023"/>
    <s v="Zayed Al Nuaimi"/>
    <s v="Individual"/>
    <s v="Web Dev"/>
    <s v="Design"/>
    <s v="Al Ain"/>
    <n v="4863"/>
    <n v="0.35"/>
    <n v="1702.05"/>
    <s v="Repeat Sale"/>
    <s v="Organic"/>
    <s v="Annual"/>
  </r>
  <r>
    <d v="2023-03-05T00:00:00"/>
    <s v="Mar"/>
    <s v="2023"/>
    <s v="Fatima Saeed"/>
    <s v="Individual"/>
    <s v="Ads"/>
    <s v="Marketing"/>
    <s v="Sharjah"/>
    <n v="5209"/>
    <n v="0.25"/>
    <n v="1302.25"/>
    <s v="Repeat Sale"/>
    <s v="Organic"/>
    <s v="Monthly"/>
  </r>
  <r>
    <d v="2023-03-06T00:00:00"/>
    <s v="Mar"/>
    <s v="2023"/>
    <s v="Sarah Ahmed"/>
    <s v="Individual"/>
    <s v="Ads"/>
    <s v="Marketing"/>
    <s v="Abu Dhabi"/>
    <n v="3807"/>
    <n v="0.25"/>
    <n v="951.75"/>
    <s v="New Sale"/>
    <s v="Ads"/>
    <s v="Monthly"/>
  </r>
  <r>
    <d v="2023-03-07T00:00:00"/>
    <s v="Mar"/>
    <s v="2023"/>
    <s v="InfiNova Technologies"/>
    <s v="Company"/>
    <s v="Web Dev"/>
    <s v="Design"/>
    <s v="Abu Dhabi"/>
    <n v="3219"/>
    <n v="0.35"/>
    <n v="1126.6499999999999"/>
    <s v="New Sale"/>
    <s v="Ads"/>
    <s v="Quarterly"/>
  </r>
  <r>
    <d v="2023-03-09T00:00:00"/>
    <s v="Mar"/>
    <s v="2023"/>
    <s v="Altura Networks"/>
    <s v="Company"/>
    <s v="App Dev"/>
    <s v="Design"/>
    <s v="Dubai"/>
    <n v="5297"/>
    <n v="0.4"/>
    <n v="2118.8000000000002"/>
    <s v="New Sale"/>
    <s v="Ads"/>
    <s v="Annual"/>
  </r>
  <r>
    <d v="2023-03-09T00:00:00"/>
    <s v="Mar"/>
    <s v="2023"/>
    <s v="Octavium Digital"/>
    <s v="Company"/>
    <s v="Ads"/>
    <s v="Marketing"/>
    <s v="Abu Dhabi"/>
    <n v="3331"/>
    <n v="0.25"/>
    <n v="832.75"/>
    <s v="New Sale"/>
    <s v="Organic"/>
    <s v="Quarterly"/>
  </r>
  <r>
    <d v="2023-03-10T00:00:00"/>
    <s v="Mar"/>
    <s v="2023"/>
    <s v="Jamal Al Maktoum"/>
    <s v="Individual"/>
    <s v="App Dev"/>
    <s v="Design"/>
    <s v="Dubai"/>
    <n v="3445"/>
    <n v="0.4"/>
    <n v="1378"/>
    <s v="New Sale"/>
    <s v="Walk in"/>
    <s v="Monthly"/>
  </r>
  <r>
    <d v="2023-03-11T00:00:00"/>
    <s v="Mar"/>
    <s v="2023"/>
    <s v="Vantoro Enterprises"/>
    <s v="Company"/>
    <s v="Ads"/>
    <s v="Marketing"/>
    <s v="Abu Dhabi"/>
    <n v="3195"/>
    <n v="0.25"/>
    <n v="798.75"/>
    <s v="Repeat Sale"/>
    <s v="Ads"/>
    <s v="Quarterly"/>
  </r>
  <r>
    <d v="2023-03-16T00:00:00"/>
    <s v="Mar"/>
    <s v="2023"/>
    <s v="InfiNova Technologies"/>
    <s v="Company"/>
    <s v="Social Media"/>
    <s v="Marketing"/>
    <s v="Ajman"/>
    <n v="3458"/>
    <n v="0.3"/>
    <n v="1037.3999999999999"/>
    <s v="Repeat Sale"/>
    <s v="Organic"/>
    <s v="Monthly"/>
  </r>
  <r>
    <d v="2023-03-17T00:00:00"/>
    <s v="Mar"/>
    <s v="2023"/>
    <s v="Nexa Core"/>
    <s v="Company"/>
    <s v="App Dev"/>
    <s v="Design"/>
    <s v="Ajman"/>
    <n v="2405"/>
    <n v="0.4"/>
    <n v="962"/>
    <s v="New Sale"/>
    <s v="Ads"/>
    <s v="Monthly"/>
  </r>
  <r>
    <d v="2023-03-19T00:00:00"/>
    <s v="Mar"/>
    <s v="2023"/>
    <s v="Solvium Solutions"/>
    <s v="Company"/>
    <s v="App Dev"/>
    <s v="Design"/>
    <s v="Sharjah"/>
    <n v="3828"/>
    <n v="0.4"/>
    <n v="1531.2"/>
    <s v="New Sale"/>
    <s v="Walk in"/>
    <s v="Quarterly"/>
  </r>
  <r>
    <d v="2023-03-20T00:00:00"/>
    <s v="Mar"/>
    <s v="2023"/>
    <s v="Stratoscope"/>
    <s v="Company"/>
    <s v="App Dev"/>
    <s v="Design"/>
    <s v="Abu Dhabi"/>
    <n v="5260"/>
    <n v="0.4"/>
    <n v="2104"/>
    <s v="New Sale"/>
    <s v="Ads"/>
    <s v="Monthly"/>
  </r>
  <r>
    <d v="2023-03-23T00:00:00"/>
    <s v="Mar"/>
    <s v="2023"/>
    <s v="Tariq Al Zahrani"/>
    <s v="Individual"/>
    <s v="Social Media"/>
    <s v="Marketing"/>
    <s v="Abu Dhabi"/>
    <n v="2548"/>
    <n v="0.3"/>
    <n v="764.4"/>
    <s v="Repeat Sale"/>
    <s v="Ads"/>
    <s v="Quarterly"/>
  </r>
  <r>
    <d v="2023-03-25T00:00:00"/>
    <s v="Mar"/>
    <s v="2023"/>
    <s v="Sami Al Shamsi"/>
    <s v="Individual"/>
    <s v="SEO"/>
    <s v="Copywriting"/>
    <s v="Ajman"/>
    <n v="4895"/>
    <n v="0.25"/>
    <n v="1223.75"/>
    <s v="New Sale"/>
    <s v="Organic"/>
    <s v="Bi Annual"/>
  </r>
  <r>
    <d v="2023-03-26T00:00:00"/>
    <s v="Mar"/>
    <s v="2023"/>
    <s v="Synergenix Labs"/>
    <s v="Company"/>
    <s v="Web Dev"/>
    <s v="Design"/>
    <s v="Ajman"/>
    <n v="5675"/>
    <n v="0.35"/>
    <n v="1986.2499999999998"/>
    <s v="New Sale"/>
    <s v="Walk in"/>
    <s v="Annual"/>
  </r>
  <r>
    <d v="2023-03-27T00:00:00"/>
    <s v="Mar"/>
    <s v="2023"/>
    <s v="InfiNova Technologies"/>
    <s v="Company"/>
    <s v="App Dev"/>
    <s v="Design"/>
    <s v="Al Ain"/>
    <n v="4614"/>
    <n v="0.4"/>
    <n v="1845.6000000000001"/>
    <s v="New Sale"/>
    <s v="Ads"/>
    <s v="Annual"/>
  </r>
  <r>
    <d v="2023-03-27T00:00:00"/>
    <s v="Mar"/>
    <s v="2023"/>
    <s v="Mona Al Humaidi"/>
    <s v="Individual"/>
    <s v="SEO"/>
    <s v="Copywriting"/>
    <s v="Ajman"/>
    <n v="3757"/>
    <n v="0.25"/>
    <n v="939.25"/>
    <s v="Repeat Sale"/>
    <s v="Organic"/>
    <s v="Quarterly"/>
  </r>
  <r>
    <d v="2023-03-29T00:00:00"/>
    <s v="Mar"/>
    <s v="2023"/>
    <s v="Rania Omar"/>
    <s v="Individual"/>
    <s v="App Dev"/>
    <s v="Design"/>
    <s v="Al Ain"/>
    <n v="4527"/>
    <n v="0.4"/>
    <n v="1810.8000000000002"/>
    <s v="Repeat Sale"/>
    <s v="Ads"/>
    <s v="Annual"/>
  </r>
  <r>
    <d v="2023-03-30T00:00:00"/>
    <s v="Mar"/>
    <s v="2023"/>
    <s v="Hanan Al Khatri"/>
    <s v="Individual"/>
    <s v="Ads"/>
    <s v="Marketing"/>
    <s v="Abu Dhabi"/>
    <n v="5027"/>
    <n v="0.25"/>
    <n v="1256.75"/>
    <s v="New Sale"/>
    <s v="Organic"/>
    <s v="Monthly"/>
  </r>
  <r>
    <d v="2023-04-02T00:00:00"/>
    <s v="Apr"/>
    <s v="2023"/>
    <s v="Octavium Digital"/>
    <s v="Company"/>
    <s v="App Dev"/>
    <s v="Design"/>
    <s v="Ajman"/>
    <n v="4975"/>
    <n v="0.4"/>
    <n v="1990"/>
    <s v="New Sale"/>
    <s v="Organic"/>
    <s v="Bi Annual"/>
  </r>
  <r>
    <d v="2023-04-05T00:00:00"/>
    <s v="Apr"/>
    <s v="2023"/>
    <s v="Mariam Al Shamsi"/>
    <s v="Individual"/>
    <s v="Web Dev"/>
    <s v="Design"/>
    <s v="Abu Dhabi"/>
    <n v="4828"/>
    <n v="0.35"/>
    <n v="1689.8"/>
    <s v="Repeat Sale"/>
    <s v="Walk in"/>
    <s v="Quarterly"/>
  </r>
  <r>
    <d v="2023-04-08T00:00:00"/>
    <s v="Apr"/>
    <s v="2023"/>
    <s v="Vantoro Enterprises"/>
    <s v="Company"/>
    <s v="Web Dev"/>
    <s v="Design"/>
    <s v="Abu Dhabi"/>
    <n v="5616"/>
    <n v="0.35"/>
    <n v="1965.6"/>
    <s v="Repeat Sale"/>
    <s v="Ads"/>
    <s v="Bi Annual"/>
  </r>
  <r>
    <d v="2023-04-12T00:00:00"/>
    <s v="Apr"/>
    <s v="2023"/>
    <s v="Mona Al Humaidi"/>
    <s v="Individual"/>
    <s v="Ads"/>
    <s v="Marketing"/>
    <s v="Al Ain"/>
    <n v="3803"/>
    <n v="0.25"/>
    <n v="950.75"/>
    <s v="New Sale"/>
    <s v="Organic"/>
    <s v="Annual"/>
  </r>
  <r>
    <d v="2023-04-13T00:00:00"/>
    <s v="Apr"/>
    <s v="2023"/>
    <s v="Solvium Solutions"/>
    <s v="Company"/>
    <s v="SEO"/>
    <s v="Copywriting"/>
    <s v="Dubai"/>
    <n v="3692"/>
    <n v="0.25"/>
    <n v="923"/>
    <s v="Repeat Sale"/>
    <s v="Ads"/>
    <s v="Quarterly"/>
  </r>
  <r>
    <d v="2023-04-13T00:00:00"/>
    <s v="Apr"/>
    <s v="2023"/>
    <s v="Tariq Al Zahrani"/>
    <s v="Individual"/>
    <s v="Social Media"/>
    <s v="Marketing"/>
    <s v="Al Ain"/>
    <n v="3029"/>
    <n v="0.3"/>
    <n v="908.69999999999993"/>
    <s v="Repeat Sale"/>
    <s v="Walk in"/>
    <s v="Quarterly"/>
  </r>
  <r>
    <d v="2023-04-14T00:00:00"/>
    <s v="Apr"/>
    <s v="2023"/>
    <s v="Saeed Al Saeed"/>
    <s v="Individual"/>
    <s v="Social Media"/>
    <s v="Marketing"/>
    <s v="Ajman"/>
    <n v="5670"/>
    <n v="0.3"/>
    <n v="1701"/>
    <s v="New Sale"/>
    <s v="Ads"/>
    <s v="Quarterly"/>
  </r>
  <r>
    <d v="2023-04-16T00:00:00"/>
    <s v="Apr"/>
    <s v="2023"/>
    <s v="Vantoro Enterprises"/>
    <s v="Company"/>
    <s v="Ads"/>
    <s v="Marketing"/>
    <s v="Dubai"/>
    <n v="5483"/>
    <n v="0.25"/>
    <n v="1370.75"/>
    <s v="Repeat Sale"/>
    <s v="Organic"/>
    <s v="Monthly"/>
  </r>
  <r>
    <d v="2023-04-19T00:00:00"/>
    <s v="Apr"/>
    <s v="2023"/>
    <s v="Nexa Core"/>
    <s v="Company"/>
    <s v="Web Dev"/>
    <s v="Design"/>
    <s v="Al Ain"/>
    <n v="2771"/>
    <n v="0.35"/>
    <n v="969.84999999999991"/>
    <s v="New Sale"/>
    <s v="Ads"/>
    <s v="Quarterly"/>
  </r>
  <r>
    <d v="2023-04-21T00:00:00"/>
    <s v="Apr"/>
    <s v="2023"/>
    <s v="Vantoro Enterprises"/>
    <s v="Company"/>
    <s v="App Dev"/>
    <s v="Design"/>
    <s v="Sharjah"/>
    <n v="4892"/>
    <n v="0.4"/>
    <n v="1956.8000000000002"/>
    <s v="Repeat Sale"/>
    <s v="Ads"/>
    <s v="Quarterly"/>
  </r>
  <r>
    <d v="2023-04-21T00:00:00"/>
    <s v="Apr"/>
    <s v="2023"/>
    <s v="Sami Al Shamsi"/>
    <s v="Individual"/>
    <s v="Web Dev"/>
    <s v="Design"/>
    <s v="Abu Dhabi"/>
    <n v="3772"/>
    <n v="0.35"/>
    <n v="1320.1999999999998"/>
    <s v="Repeat Sale"/>
    <s v="Walk in"/>
    <s v="Bi Annual"/>
  </r>
  <r>
    <d v="2023-04-22T00:00:00"/>
    <s v="Apr"/>
    <s v="2023"/>
    <s v="Zayed Al Nuaimi"/>
    <s v="Individual"/>
    <s v="App Dev"/>
    <s v="Design"/>
    <s v="Abu Dhabi"/>
    <n v="2496"/>
    <n v="0.4"/>
    <n v="998.40000000000009"/>
    <s v="Repeat Sale"/>
    <s v="Organic"/>
    <s v="Monthly"/>
  </r>
  <r>
    <d v="2023-04-23T00:00:00"/>
    <s v="Apr"/>
    <s v="2023"/>
    <s v="Octavium Digital"/>
    <s v="Company"/>
    <s v="App Dev"/>
    <s v="Design"/>
    <s v="Dubai"/>
    <n v="4405"/>
    <n v="0.4"/>
    <n v="1762"/>
    <s v="Repeat Sale"/>
    <s v="Organic"/>
    <s v="Bi Annual"/>
  </r>
  <r>
    <d v="2023-04-24T00:00:00"/>
    <s v="Apr"/>
    <s v="2023"/>
    <s v="Rania Omar"/>
    <s v="Individual"/>
    <s v="Ads"/>
    <s v="Marketing"/>
    <s v="Abu Dhabi"/>
    <n v="3973"/>
    <n v="0.25"/>
    <n v="993.25"/>
    <s v="New Sale"/>
    <s v="Walk in"/>
    <s v="Bi Annual"/>
  </r>
  <r>
    <d v="2023-04-25T00:00:00"/>
    <s v="Apr"/>
    <s v="2023"/>
    <s v="Synergenix Labs"/>
    <s v="Company"/>
    <s v="SEO"/>
    <s v="Copywriting"/>
    <s v="Abu Dhabi"/>
    <n v="4627"/>
    <n v="0.25"/>
    <n v="1156.75"/>
    <s v="Repeat Sale"/>
    <s v="Ads"/>
    <s v="Monthly"/>
  </r>
  <r>
    <d v="2023-04-29T00:00:00"/>
    <s v="Apr"/>
    <s v="2023"/>
    <s v="Stratoscope"/>
    <s v="Company"/>
    <s v="App Dev"/>
    <s v="Design"/>
    <s v="Dubai"/>
    <n v="5195"/>
    <n v="0.4"/>
    <n v="2078"/>
    <s v="Repeat Sale"/>
    <s v="Organic"/>
    <s v="Quarterly"/>
  </r>
  <r>
    <d v="2023-04-29T00:00:00"/>
    <s v="Apr"/>
    <s v="2023"/>
    <s v="Tariq Al Zahrani"/>
    <s v="Individual"/>
    <s v="Social Media"/>
    <s v="Marketing"/>
    <s v="Al Ain"/>
    <n v="4412"/>
    <n v="0.3"/>
    <n v="1323.6"/>
    <s v="Repeat Sale"/>
    <s v="Ads"/>
    <s v="Quarterly"/>
  </r>
  <r>
    <d v="2023-04-30T00:00:00"/>
    <s v="Apr"/>
    <s v="2023"/>
    <s v="Aetherion Systems"/>
    <s v="Company"/>
    <s v="Social Media"/>
    <s v="Marketing"/>
    <s v="Ajman"/>
    <n v="5440"/>
    <n v="0.3"/>
    <n v="1632"/>
    <s v="Repeat Sale"/>
    <s v="Ads"/>
    <s v="Quarterly"/>
  </r>
  <r>
    <d v="2023-04-30T00:00:00"/>
    <s v="Apr"/>
    <s v="2023"/>
    <s v="Tariq Al Zahrani"/>
    <s v="Individual"/>
    <s v="Social Media"/>
    <s v="Marketing"/>
    <s v="Abu Dhabi"/>
    <n v="4099"/>
    <n v="0.3"/>
    <n v="1229.7"/>
    <s v="Repeat Sale"/>
    <s v="Walk in"/>
    <s v="Annual"/>
  </r>
  <r>
    <d v="2023-04-30T00:00:00"/>
    <s v="Apr"/>
    <s v="2023"/>
    <s v="Sarah Ahmed"/>
    <s v="Individual"/>
    <s v="Social Media"/>
    <s v="Marketing"/>
    <s v="Dubai"/>
    <n v="2978"/>
    <n v="0.3"/>
    <n v="893.4"/>
    <s v="New Sale"/>
    <s v="Walk in"/>
    <s v="Monthly"/>
  </r>
  <r>
    <d v="2023-05-01T00:00:00"/>
    <s v="May"/>
    <s v="2023"/>
    <s v="Laila Al Mulla"/>
    <s v="Individual"/>
    <s v="Social Media"/>
    <s v="Marketing"/>
    <s v="Dubai"/>
    <n v="2689"/>
    <n v="0.3"/>
    <n v="806.69999999999993"/>
    <s v="Repeat Sale"/>
    <s v="Walk in"/>
    <s v="Monthly"/>
  </r>
  <r>
    <d v="2023-05-05T00:00:00"/>
    <s v="May"/>
    <s v="2023"/>
    <s v="Rania Omar"/>
    <s v="Individual"/>
    <s v="Ads"/>
    <s v="Marketing"/>
    <s v="Abu Dhabi"/>
    <n v="5482"/>
    <n v="0.25"/>
    <n v="1370.5"/>
    <s v="Repeat Sale"/>
    <s v="Organic"/>
    <s v="Monthly"/>
  </r>
  <r>
    <d v="2023-05-06T00:00:00"/>
    <s v="May"/>
    <s v="2023"/>
    <s v="Quanta Sphere Tech"/>
    <s v="Company"/>
    <s v="App Dev"/>
    <s v="Design"/>
    <s v="Dubai"/>
    <n v="4475"/>
    <n v="0.4"/>
    <n v="1790"/>
    <s v="Repeat Sale"/>
    <s v="Ads"/>
    <s v="Monthly"/>
  </r>
  <r>
    <d v="2023-05-07T00:00:00"/>
    <s v="May"/>
    <s v="2023"/>
    <s v="Aetherion Systems"/>
    <s v="Company"/>
    <s v="SEO"/>
    <s v="Copywriting"/>
    <s v="Abu Dhabi"/>
    <n v="5517"/>
    <n v="0.25"/>
    <n v="1379.25"/>
    <s v="Repeat Sale"/>
    <s v="Organic"/>
    <s v="Bi Annual"/>
  </r>
  <r>
    <d v="2023-05-09T00:00:00"/>
    <s v="May"/>
    <s v="2023"/>
    <s v="Zephyr Industries"/>
    <s v="Company"/>
    <s v="Web Dev"/>
    <s v="Design"/>
    <s v="Abu Dhabi"/>
    <n v="4013"/>
    <n v="0.35"/>
    <n v="1404.55"/>
    <s v="Repeat Sale"/>
    <s v="Walk in"/>
    <s v="Annual"/>
  </r>
  <r>
    <d v="2023-05-11T00:00:00"/>
    <s v="May"/>
    <s v="2023"/>
    <s v="Stratoscope"/>
    <s v="Company"/>
    <s v="App Dev"/>
    <s v="Design"/>
    <s v="Dubai"/>
    <n v="3518"/>
    <n v="0.4"/>
    <n v="1407.2"/>
    <s v="New Sale"/>
    <s v="Ads"/>
    <s v="Quarterly"/>
  </r>
  <r>
    <d v="2023-05-11T00:00:00"/>
    <s v="May"/>
    <s v="2023"/>
    <s v="Altura Networks"/>
    <s v="Company"/>
    <s v="SEO"/>
    <s v="Copywriting"/>
    <s v="Dubai"/>
    <n v="3067"/>
    <n v="0.25"/>
    <n v="766.75"/>
    <s v="Repeat Sale"/>
    <s v="Walk in"/>
    <s v="Annual"/>
  </r>
  <r>
    <d v="2023-05-12T00:00:00"/>
    <s v="May"/>
    <s v="2023"/>
    <s v="Rania Omar"/>
    <s v="Individual"/>
    <s v="App Dev"/>
    <s v="Design"/>
    <s v="Abu Dhabi"/>
    <n v="3374"/>
    <n v="0.4"/>
    <n v="1349.6000000000001"/>
    <s v="Repeat Sale"/>
    <s v="Organic"/>
    <s v="Monthly"/>
  </r>
  <r>
    <d v="2023-05-14T00:00:00"/>
    <s v="May"/>
    <s v="2023"/>
    <s v="Nexa Core"/>
    <s v="Company"/>
    <s v="SEO"/>
    <s v="Copywriting"/>
    <s v="Dubai"/>
    <n v="4925"/>
    <n v="0.25"/>
    <n v="1231.25"/>
    <s v="New Sale"/>
    <s v="Walk in"/>
    <s v="Annual"/>
  </r>
  <r>
    <d v="2023-05-16T00:00:00"/>
    <s v="May"/>
    <s v="2023"/>
    <s v="Noura Rashid"/>
    <s v="Individual"/>
    <s v="Social Media"/>
    <s v="Marketing"/>
    <s v="Dubai"/>
    <n v="2945"/>
    <n v="0.3"/>
    <n v="883.5"/>
    <s v="New Sale"/>
    <s v="Organic"/>
    <s v="Bi Annual"/>
  </r>
  <r>
    <d v="2023-05-18T00:00:00"/>
    <s v="May"/>
    <s v="2023"/>
    <s v="Stratoscope"/>
    <s v="Company"/>
    <s v="Social Media"/>
    <s v="Marketing"/>
    <s v="Ajman"/>
    <n v="3440"/>
    <n v="0.3"/>
    <n v="1032"/>
    <s v="Repeat Sale"/>
    <s v="Organic"/>
    <s v="Quarterly"/>
  </r>
  <r>
    <d v="2023-05-20T00:00:00"/>
    <s v="May"/>
    <s v="2023"/>
    <s v="Vantoro Enterprises"/>
    <s v="Company"/>
    <s v="Social Media"/>
    <s v="Marketing"/>
    <s v="Sharjah"/>
    <n v="2771"/>
    <n v="0.3"/>
    <n v="831.3"/>
    <s v="Repeat Sale"/>
    <s v="Organic"/>
    <s v="Quarterly"/>
  </r>
  <r>
    <d v="2023-05-20T00:00:00"/>
    <s v="May"/>
    <s v="2023"/>
    <s v="Zayed Al Nuaimi"/>
    <s v="Individual"/>
    <s v="Social Media"/>
    <s v="Marketing"/>
    <s v="Abu Dhabi"/>
    <n v="2837"/>
    <n v="0.3"/>
    <n v="851.1"/>
    <s v="Repeat Sale"/>
    <s v="Walk in"/>
    <s v="Monthly"/>
  </r>
  <r>
    <d v="2023-05-22T00:00:00"/>
    <s v="May"/>
    <s v="2023"/>
    <s v="Synergenix Labs"/>
    <s v="Company"/>
    <s v="Social Media"/>
    <s v="Marketing"/>
    <s v="Abu Dhabi"/>
    <n v="4942"/>
    <n v="0.3"/>
    <n v="1482.6"/>
    <s v="Repeat Sale"/>
    <s v="Ads"/>
    <s v="Bi Annual"/>
  </r>
  <r>
    <d v="2023-05-22T00:00:00"/>
    <s v="May"/>
    <s v="2023"/>
    <s v="Saeed Al Saeed"/>
    <s v="Individual"/>
    <s v="Ads"/>
    <s v="Marketing"/>
    <s v="Dubai"/>
    <n v="5310"/>
    <n v="0.25"/>
    <n v="1327.5"/>
    <s v="Repeat Sale"/>
    <s v="Organic"/>
    <s v="Annual"/>
  </r>
  <r>
    <d v="2023-05-22T00:00:00"/>
    <s v="May"/>
    <s v="2023"/>
    <s v="Mona Al Humaidi"/>
    <s v="Individual"/>
    <s v="Web Dev"/>
    <s v="Design"/>
    <s v="Dubai"/>
    <n v="2419"/>
    <n v="0.35"/>
    <n v="846.65"/>
    <s v="New Sale"/>
    <s v="Organic"/>
    <s v="Monthly"/>
  </r>
  <r>
    <d v="2023-05-24T00:00:00"/>
    <s v="May"/>
    <s v="2023"/>
    <s v="Octavium Digital"/>
    <s v="Company"/>
    <s v="App Dev"/>
    <s v="Design"/>
    <s v="Al Ain"/>
    <n v="3369"/>
    <n v="0.4"/>
    <n v="1347.6000000000001"/>
    <s v="New Sale"/>
    <s v="Ads"/>
    <s v="Monthly"/>
  </r>
  <r>
    <d v="2023-05-28T00:00:00"/>
    <s v="May"/>
    <s v="2023"/>
    <s v="Rania Omar"/>
    <s v="Individual"/>
    <s v="Web Dev"/>
    <s v="Design"/>
    <s v="Dubai"/>
    <n v="3406"/>
    <n v="0.35"/>
    <n v="1192.0999999999999"/>
    <s v="Repeat Sale"/>
    <s v="Organic"/>
    <s v="Annual"/>
  </r>
  <r>
    <d v="2023-05-30T00:00:00"/>
    <s v="May"/>
    <s v="2023"/>
    <s v="Rania Omar"/>
    <s v="Individual"/>
    <s v="App Dev"/>
    <s v="Design"/>
    <s v="Abu Dhabi"/>
    <n v="3189"/>
    <n v="0.4"/>
    <n v="1275.6000000000001"/>
    <s v="New Sale"/>
    <s v="Organic"/>
    <s v="Annual"/>
  </r>
  <r>
    <d v="2023-05-31T00:00:00"/>
    <s v="May"/>
    <s v="2023"/>
    <s v="Yousuf Al Marri"/>
    <s v="Individual"/>
    <s v="Ads"/>
    <s v="Marketing"/>
    <s v="Abu Dhabi"/>
    <n v="3286"/>
    <n v="0.25"/>
    <n v="821.5"/>
    <s v="New Sale"/>
    <s v="Ads"/>
    <s v="Monthly"/>
  </r>
  <r>
    <d v="2023-06-04T00:00:00"/>
    <s v="Jun"/>
    <s v="2023"/>
    <s v="Layla Al Dhanhani"/>
    <s v="Individual"/>
    <s v="Web Dev"/>
    <s v="Design"/>
    <s v="Ajman"/>
    <n v="4390"/>
    <n v="0.35"/>
    <n v="1536.5"/>
    <s v="New Sale"/>
    <s v="Walk in"/>
    <s v="Annual"/>
  </r>
  <r>
    <d v="2023-06-08T00:00:00"/>
    <s v="Jun"/>
    <s v="2023"/>
    <s v="Aetherion Systems"/>
    <s v="Company"/>
    <s v="Web Dev"/>
    <s v="Design"/>
    <s v="Sharjah"/>
    <n v="3574"/>
    <n v="0.35"/>
    <n v="1250.8999999999999"/>
    <s v="Repeat Sale"/>
    <s v="Organic"/>
    <s v="Bi Annual"/>
  </r>
  <r>
    <d v="2023-06-09T00:00:00"/>
    <s v="Jun"/>
    <s v="2023"/>
    <s v="Fatima Saeed"/>
    <s v="Individual"/>
    <s v="App Dev"/>
    <s v="Design"/>
    <s v="Dubai"/>
    <n v="5328"/>
    <n v="0.4"/>
    <n v="2131.2000000000003"/>
    <s v="New Sale"/>
    <s v="Walk in"/>
    <s v="Bi Annual"/>
  </r>
  <r>
    <d v="2023-06-11T00:00:00"/>
    <s v="Jun"/>
    <s v="2023"/>
    <s v="Luminex Global"/>
    <s v="Company"/>
    <s v="SEO"/>
    <s v="Copywriting"/>
    <s v="Dubai"/>
    <n v="3848"/>
    <n v="0.25"/>
    <n v="962"/>
    <s v="New Sale"/>
    <s v="Walk in"/>
    <s v="Annual"/>
  </r>
  <r>
    <d v="2023-06-11T00:00:00"/>
    <s v="Jun"/>
    <s v="2023"/>
    <s v="Nexa Core"/>
    <s v="Company"/>
    <s v="Ads"/>
    <s v="Marketing"/>
    <s v="Abu Dhabi"/>
    <n v="2863"/>
    <n v="0.25"/>
    <n v="715.75"/>
    <s v="New Sale"/>
    <s v="Walk in"/>
    <s v="Annual"/>
  </r>
  <r>
    <d v="2023-06-11T00:00:00"/>
    <s v="Jun"/>
    <s v="2023"/>
    <s v="Fatima Saeed"/>
    <s v="Individual"/>
    <s v="App Dev"/>
    <s v="Design"/>
    <s v="Al Ain"/>
    <n v="5052"/>
    <n v="0.4"/>
    <n v="2020.8000000000002"/>
    <s v="New Sale"/>
    <s v="Organic"/>
    <s v="Bi Annual"/>
  </r>
  <r>
    <d v="2023-06-13T00:00:00"/>
    <s v="Jun"/>
    <s v="2023"/>
    <s v="Octavium Digital"/>
    <s v="Company"/>
    <s v="Social Media"/>
    <s v="Marketing"/>
    <s v="Sharjah"/>
    <n v="3141"/>
    <n v="0.3"/>
    <n v="942.3"/>
    <s v="Repeat Sale"/>
    <s v="Ads"/>
    <s v="Annual"/>
  </r>
  <r>
    <d v="2023-06-14T00:00:00"/>
    <s v="Jun"/>
    <s v="2023"/>
    <s v="Khaled Al Farsi"/>
    <s v="Individual"/>
    <s v="Web Dev"/>
    <s v="Design"/>
    <s v="Ajman"/>
    <n v="2898"/>
    <n v="0.35"/>
    <n v="1014.3"/>
    <s v="Repeat Sale"/>
    <s v="Ads"/>
    <s v="Bi Annual"/>
  </r>
  <r>
    <d v="2023-06-15T00:00:00"/>
    <s v="Jun"/>
    <s v="2023"/>
    <s v="Nexa Core"/>
    <s v="Company"/>
    <s v="Web Dev"/>
    <s v="Design"/>
    <s v="Dubai"/>
    <n v="5404"/>
    <n v="0.35"/>
    <n v="1891.3999999999999"/>
    <s v="Repeat Sale"/>
    <s v="Walk in"/>
    <s v="Quarterly"/>
  </r>
  <r>
    <d v="2023-06-17T00:00:00"/>
    <s v="Jun"/>
    <s v="2023"/>
    <s v="Laila Al Mulla"/>
    <s v="Individual"/>
    <s v="SEO"/>
    <s v="Copywriting"/>
    <s v="Ajman"/>
    <n v="4622"/>
    <n v="0.25"/>
    <n v="1155.5"/>
    <s v="Repeat Sale"/>
    <s v="Ads"/>
    <s v="Quarterly"/>
  </r>
  <r>
    <d v="2023-06-18T00:00:00"/>
    <s v="Jun"/>
    <s v="2023"/>
    <s v="InfiNova Technologies"/>
    <s v="Company"/>
    <s v="Social Media"/>
    <s v="Marketing"/>
    <s v="Al Ain"/>
    <n v="3171"/>
    <n v="0.3"/>
    <n v="951.3"/>
    <s v="New Sale"/>
    <s v="Organic"/>
    <s v="Quarterly"/>
  </r>
  <r>
    <d v="2023-06-19T00:00:00"/>
    <s v="Jun"/>
    <s v="2023"/>
    <s v="Octavium Digital"/>
    <s v="Company"/>
    <s v="Web Dev"/>
    <s v="Design"/>
    <s v="Abu Dhabi"/>
    <n v="5328"/>
    <n v="0.35"/>
    <n v="1864.8"/>
    <s v="Repeat Sale"/>
    <s v="Ads"/>
    <s v="Quarterly"/>
  </r>
  <r>
    <d v="2023-06-19T00:00:00"/>
    <s v="Jun"/>
    <s v="2023"/>
    <s v="Tariq Al Zahrani"/>
    <s v="Individual"/>
    <s v="Ads"/>
    <s v="Marketing"/>
    <s v="Dubai"/>
    <n v="2611"/>
    <n v="0.25"/>
    <n v="652.75"/>
    <s v="Repeat Sale"/>
    <s v="Organic"/>
    <s v="Monthly"/>
  </r>
  <r>
    <d v="2023-06-21T00:00:00"/>
    <s v="Jun"/>
    <s v="2023"/>
    <s v="Luminex Global"/>
    <s v="Company"/>
    <s v="SEO"/>
    <s v="Copywriting"/>
    <s v="Dubai"/>
    <n v="5613"/>
    <n v="0.25"/>
    <n v="1403.25"/>
    <s v="Repeat Sale"/>
    <s v="Organic"/>
    <s v="Monthly"/>
  </r>
  <r>
    <d v="2023-06-21T00:00:00"/>
    <s v="Jun"/>
    <s v="2023"/>
    <s v="Aetherion Systems"/>
    <s v="Company"/>
    <s v="SEO"/>
    <s v="Copywriting"/>
    <s v="Abu Dhabi"/>
    <n v="2953"/>
    <n v="0.25"/>
    <n v="738.25"/>
    <s v="Repeat Sale"/>
    <s v="Walk in"/>
    <s v="Monthly"/>
  </r>
  <r>
    <d v="2023-06-22T00:00:00"/>
    <s v="Jun"/>
    <s v="2023"/>
    <s v="Noura Rashid"/>
    <s v="Individual"/>
    <s v="Web Dev"/>
    <s v="Design"/>
    <s v="Al Ain"/>
    <n v="3049"/>
    <n v="0.35"/>
    <n v="1067.1499999999999"/>
    <s v="Repeat Sale"/>
    <s v="Walk in"/>
    <s v="Monthly"/>
  </r>
  <r>
    <d v="2023-06-23T00:00:00"/>
    <s v="Jun"/>
    <s v="2023"/>
    <s v="Altura Networks"/>
    <s v="Company"/>
    <s v="Social Media"/>
    <s v="Marketing"/>
    <s v="Abu Dhabi"/>
    <n v="3853"/>
    <n v="0.3"/>
    <n v="1155.8999999999999"/>
    <s v="Repeat Sale"/>
    <s v="Ads"/>
    <s v="Monthly"/>
  </r>
  <r>
    <d v="2023-06-26T00:00:00"/>
    <s v="Jun"/>
    <s v="2023"/>
    <s v="Hanan Al Khatri"/>
    <s v="Individual"/>
    <s v="App Dev"/>
    <s v="Design"/>
    <s v="Ajman"/>
    <n v="5066"/>
    <n v="0.4"/>
    <n v="2026.4"/>
    <s v="Repeat Sale"/>
    <s v="Walk in"/>
    <s v="Bi Annual"/>
  </r>
  <r>
    <d v="2023-06-27T00:00:00"/>
    <s v="Jun"/>
    <s v="2023"/>
    <s v="Basma Nasser"/>
    <s v="Individual"/>
    <s v="Social Media"/>
    <s v="Marketing"/>
    <s v="Sharjah"/>
    <n v="4429"/>
    <n v="0.3"/>
    <n v="1328.7"/>
    <s v="Repeat Sale"/>
    <s v="Ads"/>
    <s v="Quarterly"/>
  </r>
  <r>
    <d v="2023-06-29T00:00:00"/>
    <s v="Jun"/>
    <s v="2023"/>
    <s v="Mariam Al Shamsi"/>
    <s v="Individual"/>
    <s v="Social Media"/>
    <s v="Marketing"/>
    <s v="Dubai"/>
    <n v="2663"/>
    <n v="0.3"/>
    <n v="798.9"/>
    <s v="Repeat Sale"/>
    <s v="Ads"/>
    <s v="Bi Annual"/>
  </r>
  <r>
    <d v="2023-07-01T00:00:00"/>
    <s v="Jul"/>
    <s v="2023"/>
    <s v="Aetherion Systems"/>
    <s v="Company"/>
    <s v="SEO"/>
    <s v="Copywriting"/>
    <s v="Abu Dhabi"/>
    <n v="5028"/>
    <n v="0.25"/>
    <n v="1257"/>
    <s v="New Sale"/>
    <s v="Organic"/>
    <s v="Bi Annual"/>
  </r>
  <r>
    <d v="2023-07-02T00:00:00"/>
    <s v="Jul"/>
    <s v="2023"/>
    <s v="Hanan Al Khatri"/>
    <s v="Individual"/>
    <s v="Ads"/>
    <s v="Marketing"/>
    <s v="Abu Dhabi"/>
    <n v="5871"/>
    <n v="0.25"/>
    <n v="1467.75"/>
    <s v="New Sale"/>
    <s v="Walk in"/>
    <s v="Annual"/>
  </r>
  <r>
    <d v="2023-07-03T00:00:00"/>
    <s v="Jul"/>
    <s v="2023"/>
    <s v="Vantoro Enterprises"/>
    <s v="Company"/>
    <s v="App Dev"/>
    <s v="Design"/>
    <s v="Dubai"/>
    <n v="6735"/>
    <n v="0.4"/>
    <n v="2694"/>
    <s v="Repeat Sale"/>
    <s v="Organic"/>
    <s v="Bi Annual"/>
  </r>
  <r>
    <d v="2023-07-03T00:00:00"/>
    <s v="Jul"/>
    <s v="2023"/>
    <s v="Aetherion Systems"/>
    <s v="Company"/>
    <s v="App Dev"/>
    <s v="Design"/>
    <s v="Sharjah"/>
    <n v="7042"/>
    <n v="0.4"/>
    <n v="2816.8"/>
    <s v="Repeat Sale"/>
    <s v="Walk in"/>
    <s v="Monthly"/>
  </r>
  <r>
    <d v="2023-07-06T00:00:00"/>
    <s v="Jul"/>
    <s v="2023"/>
    <s v="Omar Ali"/>
    <s v="Individual"/>
    <s v="Social Media"/>
    <s v="Marketing"/>
    <s v="Dubai"/>
    <n v="6997"/>
    <n v="0.3"/>
    <n v="2099.1"/>
    <s v="Repeat Sale"/>
    <s v="Organic"/>
    <s v="Bi Annual"/>
  </r>
  <r>
    <d v="2023-07-10T00:00:00"/>
    <s v="Jul"/>
    <s v="2023"/>
    <s v="Altura Networks"/>
    <s v="Company"/>
    <s v="SEO"/>
    <s v="Copywriting"/>
    <s v="Abu Dhabi"/>
    <n v="6913"/>
    <n v="0.25"/>
    <n v="1728.25"/>
    <s v="New Sale"/>
    <s v="Ads"/>
    <s v="Quarterly"/>
  </r>
  <r>
    <d v="2023-07-11T00:00:00"/>
    <s v="Jul"/>
    <s v="2023"/>
    <s v="Vantoro Enterprises"/>
    <s v="Company"/>
    <s v="SEO"/>
    <s v="Copywriting"/>
    <s v="Al Ain"/>
    <n v="6768"/>
    <n v="0.25"/>
    <n v="1692"/>
    <s v="Repeat Sale"/>
    <s v="Organic"/>
    <s v="Annual"/>
  </r>
  <r>
    <d v="2023-07-11T00:00:00"/>
    <s v="Jul"/>
    <s v="2023"/>
    <s v="Hanan Al Khatri"/>
    <s v="Individual"/>
    <s v="SEO"/>
    <s v="Copywriting"/>
    <s v="Sharjah"/>
    <n v="5624"/>
    <n v="0.25"/>
    <n v="1406"/>
    <s v="Repeat Sale"/>
    <s v="Organic"/>
    <s v="Annual"/>
  </r>
  <r>
    <d v="2023-07-11T00:00:00"/>
    <s v="Jul"/>
    <s v="2023"/>
    <s v="Hanan Al Khatri"/>
    <s v="Individual"/>
    <s v="App Dev"/>
    <s v="Design"/>
    <s v="Abu Dhabi"/>
    <n v="7247"/>
    <n v="0.4"/>
    <n v="2898.8"/>
    <s v="Repeat Sale"/>
    <s v="Walk in"/>
    <s v="Annual"/>
  </r>
  <r>
    <d v="2023-07-13T00:00:00"/>
    <s v="Jul"/>
    <s v="2023"/>
    <s v="Fatima Saeed"/>
    <s v="Individual"/>
    <s v="Ads"/>
    <s v="Marketing"/>
    <s v="Dubai"/>
    <n v="7252"/>
    <n v="0.25"/>
    <n v="1813"/>
    <s v="New Sale"/>
    <s v="Organic"/>
    <s v="Annual"/>
  </r>
  <r>
    <d v="2023-07-15T00:00:00"/>
    <s v="Jul"/>
    <s v="2023"/>
    <s v="Synergenix Labs"/>
    <s v="Company"/>
    <s v="App Dev"/>
    <s v="Design"/>
    <s v="Sharjah"/>
    <n v="5980"/>
    <n v="0.4"/>
    <n v="2392"/>
    <s v="New Sale"/>
    <s v="Ads"/>
    <s v="Monthly"/>
  </r>
  <r>
    <d v="2023-07-15T00:00:00"/>
    <s v="Jul"/>
    <s v="2023"/>
    <s v="Zayed Al Nuaimi"/>
    <s v="Individual"/>
    <s v="Web Dev"/>
    <s v="Design"/>
    <s v="Al Ain"/>
    <n v="7259"/>
    <n v="0.35"/>
    <n v="2540.6499999999996"/>
    <s v="Repeat Sale"/>
    <s v="Walk in"/>
    <s v="Quarterly"/>
  </r>
  <r>
    <d v="2023-07-15T00:00:00"/>
    <s v="Jul"/>
    <s v="2023"/>
    <s v="Zayed Al Nuaimi"/>
    <s v="Individual"/>
    <s v="Web Dev"/>
    <s v="Design"/>
    <s v="Abu Dhabi"/>
    <n v="6125"/>
    <n v="0.35"/>
    <n v="2143.75"/>
    <s v="Repeat Sale"/>
    <s v="Ads"/>
    <s v="Bi Annual"/>
  </r>
  <r>
    <d v="2023-07-20T00:00:00"/>
    <s v="Jul"/>
    <s v="2023"/>
    <s v="Stratoscope"/>
    <s v="Company"/>
    <s v="Ads"/>
    <s v="Marketing"/>
    <s v="Al Ain"/>
    <n v="5780"/>
    <n v="0.25"/>
    <n v="1445"/>
    <s v="Repeat Sale"/>
    <s v="Walk in"/>
    <s v="Bi Annual"/>
  </r>
  <r>
    <d v="2023-07-20T00:00:00"/>
    <s v="Jul"/>
    <s v="2023"/>
    <s v="Vantoro Enterprises"/>
    <s v="Company"/>
    <s v="App Dev"/>
    <s v="Design"/>
    <s v="Ajman"/>
    <n v="5777"/>
    <n v="0.4"/>
    <n v="2310.8000000000002"/>
    <s v="Repeat Sale"/>
    <s v="Organic"/>
    <s v="Bi Annual"/>
  </r>
  <r>
    <d v="2023-07-30T00:00:00"/>
    <s v="Jul"/>
    <s v="2023"/>
    <s v="InfiNova Technologies"/>
    <s v="Company"/>
    <s v="Ads"/>
    <s v="Marketing"/>
    <s v="Ajman"/>
    <n v="7325"/>
    <n v="0.25"/>
    <n v="1831.25"/>
    <s v="Repeat Sale"/>
    <s v="Walk in"/>
    <s v="Monthly"/>
  </r>
  <r>
    <d v="2023-07-30T00:00:00"/>
    <s v="Jul"/>
    <s v="2023"/>
    <s v="Vantoro Enterprises"/>
    <s v="Company"/>
    <s v="Ads"/>
    <s v="Marketing"/>
    <s v="Abu Dhabi"/>
    <n v="7139"/>
    <n v="0.25"/>
    <n v="1784.75"/>
    <s v="New Sale"/>
    <s v="Organic"/>
    <s v="Quarterly"/>
  </r>
  <r>
    <d v="2023-07-30T00:00:00"/>
    <s v="Jul"/>
    <s v="2023"/>
    <s v="Jamal Al Maktoum"/>
    <s v="Individual"/>
    <s v="Social Media"/>
    <s v="Marketing"/>
    <s v="Ajman"/>
    <n v="5676"/>
    <n v="0.3"/>
    <n v="1702.8"/>
    <s v="New Sale"/>
    <s v="Walk in"/>
    <s v="Quarterly"/>
  </r>
  <r>
    <d v="2023-07-30T00:00:00"/>
    <s v="Jul"/>
    <s v="2023"/>
    <s v="Rania Omar"/>
    <s v="Individual"/>
    <s v="Social Media"/>
    <s v="Marketing"/>
    <s v="Abu Dhabi"/>
    <n v="6440"/>
    <n v="0.3"/>
    <n v="1932"/>
    <s v="Repeat Sale"/>
    <s v="Ads"/>
    <s v="Quarterly"/>
  </r>
  <r>
    <d v="2023-07-31T00:00:00"/>
    <s v="Jul"/>
    <s v="2023"/>
    <s v="Omar Ali"/>
    <s v="Individual"/>
    <s v="SEO"/>
    <s v="Copywriting"/>
    <s v="Ajman"/>
    <n v="6331"/>
    <n v="0.25"/>
    <n v="1582.75"/>
    <s v="Repeat Sale"/>
    <s v="Organic"/>
    <s v="Quarterly"/>
  </r>
  <r>
    <d v="2023-08-05T00:00:00"/>
    <s v="Aug"/>
    <s v="2023"/>
    <s v="Quanta Sphere Tech"/>
    <s v="Company"/>
    <s v="Web Dev"/>
    <s v="Design"/>
    <s v="Abu Dhabi"/>
    <n v="7410"/>
    <n v="0.35"/>
    <n v="2593.5"/>
    <s v="New Sale"/>
    <s v="Walk in"/>
    <s v="Annual"/>
  </r>
  <r>
    <d v="2023-08-05T00:00:00"/>
    <s v="Aug"/>
    <s v="2023"/>
    <s v="Mona Al Humaidi"/>
    <s v="Individual"/>
    <s v="SEO"/>
    <s v="Copywriting"/>
    <s v="Abu Dhabi"/>
    <n v="6926"/>
    <n v="0.25"/>
    <n v="1731.5"/>
    <s v="New Sale"/>
    <s v="Organic"/>
    <s v="Bi Annual"/>
  </r>
  <r>
    <d v="2023-08-05T00:00:00"/>
    <s v="Aug"/>
    <s v="2023"/>
    <s v="Ahmed Yousuf"/>
    <s v="Individual"/>
    <s v="Web Dev"/>
    <s v="Design"/>
    <s v="Abu Dhabi"/>
    <n v="6805"/>
    <n v="0.35"/>
    <n v="2381.75"/>
    <s v="Repeat Sale"/>
    <s v="Walk in"/>
    <s v="Annual"/>
  </r>
  <r>
    <d v="2023-08-07T00:00:00"/>
    <s v="Aug"/>
    <s v="2023"/>
    <s v="InfiNova Technologies"/>
    <s v="Company"/>
    <s v="Ads"/>
    <s v="Marketing"/>
    <s v="Ajman"/>
    <n v="7689"/>
    <n v="0.25"/>
    <n v="1922.25"/>
    <s v="New Sale"/>
    <s v="Walk in"/>
    <s v="Quarterly"/>
  </r>
  <r>
    <d v="2023-08-11T00:00:00"/>
    <s v="Aug"/>
    <s v="2023"/>
    <s v="Basma Nasser"/>
    <s v="Individual"/>
    <s v="SEO"/>
    <s v="Copywriting"/>
    <s v="Sharjah"/>
    <n v="5830"/>
    <n v="0.25"/>
    <n v="1457.5"/>
    <s v="Repeat Sale"/>
    <s v="Ads"/>
    <s v="Bi Annual"/>
  </r>
  <r>
    <d v="2023-08-12T00:00:00"/>
    <s v="Aug"/>
    <s v="2023"/>
    <s v="Ahmed Yousuf"/>
    <s v="Individual"/>
    <s v="SEO"/>
    <s v="Copywriting"/>
    <s v="Ajman"/>
    <n v="6799"/>
    <n v="0.25"/>
    <n v="1699.75"/>
    <s v="Repeat Sale"/>
    <s v="Ads"/>
    <s v="Monthly"/>
  </r>
  <r>
    <d v="2023-08-17T00:00:00"/>
    <s v="Aug"/>
    <s v="2023"/>
    <s v="Mariam Al Shamsi"/>
    <s v="Individual"/>
    <s v="SEO"/>
    <s v="Copywriting"/>
    <s v="Abu Dhabi"/>
    <n v="5750"/>
    <n v="0.25"/>
    <n v="1437.5"/>
    <s v="Repeat Sale"/>
    <s v="Walk in"/>
    <s v="Annual"/>
  </r>
  <r>
    <d v="2023-08-18T00:00:00"/>
    <s v="Aug"/>
    <s v="2023"/>
    <s v="Luminex Global"/>
    <s v="Company"/>
    <s v="SEO"/>
    <s v="Copywriting"/>
    <s v="Ajman"/>
    <n v="7447"/>
    <n v="0.25"/>
    <n v="1861.75"/>
    <s v="Repeat Sale"/>
    <s v="Walk in"/>
    <s v="Monthly"/>
  </r>
  <r>
    <d v="2023-08-18T00:00:00"/>
    <s v="Aug"/>
    <s v="2023"/>
    <s v="Stratoscope"/>
    <s v="Company"/>
    <s v="SEO"/>
    <s v="Copywriting"/>
    <s v="Al Ain"/>
    <n v="7243"/>
    <n v="0.25"/>
    <n v="1810.75"/>
    <s v="Repeat Sale"/>
    <s v="Walk in"/>
    <s v="Monthly"/>
  </r>
  <r>
    <d v="2023-08-18T00:00:00"/>
    <s v="Aug"/>
    <s v="2023"/>
    <s v="Layla Al Dhanhani"/>
    <s v="Individual"/>
    <s v="Ads"/>
    <s v="Marketing"/>
    <s v="Al Ain"/>
    <n v="5541"/>
    <n v="0.25"/>
    <n v="1385.25"/>
    <s v="New Sale"/>
    <s v="Ads"/>
    <s v="Quarterly"/>
  </r>
  <r>
    <d v="2023-08-18T00:00:00"/>
    <s v="Aug"/>
    <s v="2023"/>
    <s v="Rania Omar"/>
    <s v="Individual"/>
    <s v="Ads"/>
    <s v="Marketing"/>
    <s v="Al Ain"/>
    <n v="6457"/>
    <n v="0.25"/>
    <n v="1614.25"/>
    <s v="Repeat Sale"/>
    <s v="Walk in"/>
    <s v="Quarterly"/>
  </r>
  <r>
    <d v="2023-08-20T00:00:00"/>
    <s v="Aug"/>
    <s v="2023"/>
    <s v="InfiNova Technologies"/>
    <s v="Company"/>
    <s v="Web Dev"/>
    <s v="Design"/>
    <s v="Al Ain"/>
    <n v="5696"/>
    <n v="0.35"/>
    <n v="1993.6"/>
    <s v="Repeat Sale"/>
    <s v="Organic"/>
    <s v="Monthly"/>
  </r>
  <r>
    <d v="2023-08-22T00:00:00"/>
    <s v="Aug"/>
    <s v="2023"/>
    <s v="Fatima Saeed"/>
    <s v="Individual"/>
    <s v="App Dev"/>
    <s v="Design"/>
    <s v="Sharjah"/>
    <n v="5218"/>
    <n v="0.4"/>
    <n v="2087.2000000000003"/>
    <s v="Repeat Sale"/>
    <s v="Organic"/>
    <s v="Bi Annual"/>
  </r>
  <r>
    <d v="2023-08-26T00:00:00"/>
    <s v="Aug"/>
    <s v="2023"/>
    <s v="Stratoscope"/>
    <s v="Company"/>
    <s v="Web Dev"/>
    <s v="Design"/>
    <s v="Abu Dhabi"/>
    <n v="7285"/>
    <n v="0.35"/>
    <n v="2549.75"/>
    <s v="Repeat Sale"/>
    <s v="Ads"/>
    <s v="Monthly"/>
  </r>
  <r>
    <d v="2023-08-28T00:00:00"/>
    <s v="Aug"/>
    <s v="2023"/>
    <s v="Quanta Sphere Tech"/>
    <s v="Company"/>
    <s v="SEO"/>
    <s v="Copywriting"/>
    <s v="Abu Dhabi"/>
    <n v="7369"/>
    <n v="0.25"/>
    <n v="1842.25"/>
    <s v="Repeat Sale"/>
    <s v="Walk in"/>
    <s v="Bi Annual"/>
  </r>
  <r>
    <d v="2023-08-29T00:00:00"/>
    <s v="Aug"/>
    <s v="2023"/>
    <s v="Luminex Global"/>
    <s v="Company"/>
    <s v="SEO"/>
    <s v="Copywriting"/>
    <s v="Ajman"/>
    <n v="5698"/>
    <n v="0.25"/>
    <n v="1424.5"/>
    <s v="Repeat Sale"/>
    <s v="Organic"/>
    <s v="Monthly"/>
  </r>
  <r>
    <d v="2023-08-30T00:00:00"/>
    <s v="Aug"/>
    <s v="2023"/>
    <s v="Zephyr Industries"/>
    <s v="Company"/>
    <s v="Social Media"/>
    <s v="Marketing"/>
    <s v="Dubai"/>
    <n v="5938"/>
    <n v="0.3"/>
    <n v="1781.3999999999999"/>
    <s v="Repeat Sale"/>
    <s v="Walk in"/>
    <s v="Quarterly"/>
  </r>
  <r>
    <d v="2023-08-30T00:00:00"/>
    <s v="Aug"/>
    <s v="2023"/>
    <s v="Jamal Al Maktoum"/>
    <s v="Individual"/>
    <s v="SEO"/>
    <s v="Copywriting"/>
    <s v="Abu Dhabi"/>
    <n v="6844"/>
    <n v="0.25"/>
    <n v="1711"/>
    <s v="Repeat Sale"/>
    <s v="Organic"/>
    <s v="Monthly"/>
  </r>
  <r>
    <d v="2023-08-30T00:00:00"/>
    <s v="Aug"/>
    <s v="2023"/>
    <s v="Omar Ali"/>
    <s v="Individual"/>
    <s v="SEO"/>
    <s v="Copywriting"/>
    <s v="Sharjah"/>
    <n v="6002"/>
    <n v="0.25"/>
    <n v="1500.5"/>
    <s v="Repeat Sale"/>
    <s v="Ads"/>
    <s v="Monthly"/>
  </r>
  <r>
    <d v="2023-08-31T00:00:00"/>
    <s v="Aug"/>
    <s v="2023"/>
    <s v="Altura Networks"/>
    <s v="Company"/>
    <s v="SEO"/>
    <s v="Copywriting"/>
    <s v="Dubai"/>
    <n v="6511"/>
    <n v="0.25"/>
    <n v="1627.75"/>
    <s v="Repeat Sale"/>
    <s v="Ads"/>
    <s v="Quarterly"/>
  </r>
  <r>
    <d v="2023-09-01T00:00:00"/>
    <s v="Sep"/>
    <s v="2023"/>
    <s v="Ahmed Yousuf"/>
    <s v="Individual"/>
    <s v="Ads"/>
    <s v="Marketing"/>
    <s v="Abu Dhabi"/>
    <n v="5417"/>
    <n v="0.25"/>
    <n v="1354.25"/>
    <s v="Repeat Sale"/>
    <s v="Ads"/>
    <s v="Quarterly"/>
  </r>
  <r>
    <d v="2023-09-01T00:00:00"/>
    <s v="Sep"/>
    <s v="2023"/>
    <s v="Rania Omar"/>
    <s v="Individual"/>
    <s v="Social Media"/>
    <s v="Marketing"/>
    <s v="Sharjah"/>
    <n v="7304"/>
    <n v="0.3"/>
    <n v="2191.1999999999998"/>
    <s v="Repeat Sale"/>
    <s v="Organic"/>
    <s v="Annual"/>
  </r>
  <r>
    <d v="2023-09-03T00:00:00"/>
    <s v="Sep"/>
    <s v="2023"/>
    <s v="Rania Omar"/>
    <s v="Individual"/>
    <s v="App Dev"/>
    <s v="Design"/>
    <s v="Abu Dhabi"/>
    <n v="7582"/>
    <n v="0.4"/>
    <n v="3032.8"/>
    <s v="Repeat Sale"/>
    <s v="Organic"/>
    <s v="Quarterly"/>
  </r>
  <r>
    <d v="2023-09-03T00:00:00"/>
    <s v="Sep"/>
    <s v="2023"/>
    <s v="Mariam Al Shamsi"/>
    <s v="Individual"/>
    <s v="Ads"/>
    <s v="Marketing"/>
    <s v="Ajman"/>
    <n v="6696"/>
    <n v="0.25"/>
    <n v="1674"/>
    <s v="New Sale"/>
    <s v="Ads"/>
    <s v="Quarterly"/>
  </r>
  <r>
    <d v="2023-09-05T00:00:00"/>
    <s v="Sep"/>
    <s v="2023"/>
    <s v="Altura Networks"/>
    <s v="Company"/>
    <s v="SEO"/>
    <s v="Copywriting"/>
    <s v="Abu Dhabi"/>
    <n v="6406"/>
    <n v="0.25"/>
    <n v="1601.5"/>
    <s v="Repeat Sale"/>
    <s v="Ads"/>
    <s v="Annual"/>
  </r>
  <r>
    <d v="2023-09-05T00:00:00"/>
    <s v="Sep"/>
    <s v="2023"/>
    <s v="Zephyr Industries"/>
    <s v="Company"/>
    <s v="Ads"/>
    <s v="Marketing"/>
    <s v="Sharjah"/>
    <n v="7205"/>
    <n v="0.25"/>
    <n v="1801.25"/>
    <s v="New Sale"/>
    <s v="Ads"/>
    <s v="Quarterly"/>
  </r>
  <r>
    <d v="2023-09-06T00:00:00"/>
    <s v="Sep"/>
    <s v="2023"/>
    <s v="Vantoro Enterprises"/>
    <s v="Company"/>
    <s v="Web Dev"/>
    <s v="Design"/>
    <s v="Sharjah"/>
    <n v="7727"/>
    <n v="0.35"/>
    <n v="2704.45"/>
    <s v="Repeat Sale"/>
    <s v="Organic"/>
    <s v="Quarterly"/>
  </r>
  <r>
    <d v="2023-09-07T00:00:00"/>
    <s v="Sep"/>
    <s v="2023"/>
    <s v="Laila Al Mulla"/>
    <s v="Individual"/>
    <s v="Social Media"/>
    <s v="Marketing"/>
    <s v="Sharjah"/>
    <n v="5416"/>
    <n v="0.3"/>
    <n v="1624.8"/>
    <s v="Repeat Sale"/>
    <s v="Ads"/>
    <s v="Annual"/>
  </r>
  <r>
    <d v="2023-09-08T00:00:00"/>
    <s v="Sep"/>
    <s v="2023"/>
    <s v="Luminex Global"/>
    <s v="Company"/>
    <s v="Ads"/>
    <s v="Marketing"/>
    <s v="Abu Dhabi"/>
    <n v="7738"/>
    <n v="0.25"/>
    <n v="1934.5"/>
    <s v="Repeat Sale"/>
    <s v="Ads"/>
    <s v="Quarterly"/>
  </r>
  <r>
    <d v="2023-09-12T00:00:00"/>
    <s v="Sep"/>
    <s v="2023"/>
    <s v="Layla Al Dhanhani"/>
    <s v="Individual"/>
    <s v="Web Dev"/>
    <s v="Design"/>
    <s v="Dubai"/>
    <n v="7487"/>
    <n v="0.35"/>
    <n v="2620.4499999999998"/>
    <s v="Repeat Sale"/>
    <s v="Organic"/>
    <s v="Annual"/>
  </r>
  <r>
    <d v="2023-09-12T00:00:00"/>
    <s v="Sep"/>
    <s v="2023"/>
    <s v="Rania Omar"/>
    <s v="Individual"/>
    <s v="Social Media"/>
    <s v="Marketing"/>
    <s v="Dubai"/>
    <n v="6985"/>
    <n v="0.3"/>
    <n v="2095.5"/>
    <s v="New Sale"/>
    <s v="Walk in"/>
    <s v="Quarterly"/>
  </r>
  <r>
    <d v="2023-09-13T00:00:00"/>
    <s v="Sep"/>
    <s v="2023"/>
    <s v="Laila Al Mulla"/>
    <s v="Individual"/>
    <s v="SEO"/>
    <s v="Copywriting"/>
    <s v="Abu Dhabi"/>
    <n v="7326"/>
    <n v="0.25"/>
    <n v="1831.5"/>
    <s v="New Sale"/>
    <s v="Walk in"/>
    <s v="Monthly"/>
  </r>
  <r>
    <d v="2023-09-15T00:00:00"/>
    <s v="Sep"/>
    <s v="2023"/>
    <s v="InfiNova Technologies"/>
    <s v="Company"/>
    <s v="SEO"/>
    <s v="Copywriting"/>
    <s v="Abu Dhabi"/>
    <n v="6465"/>
    <n v="0.25"/>
    <n v="1616.25"/>
    <s v="Repeat Sale"/>
    <s v="Walk in"/>
    <s v="Quarterly"/>
  </r>
  <r>
    <d v="2023-09-20T00:00:00"/>
    <s v="Sep"/>
    <s v="2023"/>
    <s v="Nexa Core"/>
    <s v="Company"/>
    <s v="Ads"/>
    <s v="Marketing"/>
    <s v="Al Ain"/>
    <n v="6603"/>
    <n v="0.25"/>
    <n v="1650.75"/>
    <s v="New Sale"/>
    <s v="Organic"/>
    <s v="Bi Annual"/>
  </r>
  <r>
    <d v="2023-09-22T00:00:00"/>
    <s v="Sep"/>
    <s v="2023"/>
    <s v="Synergenix Labs"/>
    <s v="Company"/>
    <s v="Web Dev"/>
    <s v="Design"/>
    <s v="Ajman"/>
    <n v="5676"/>
    <n v="0.35"/>
    <n v="1986.6"/>
    <s v="New Sale"/>
    <s v="Ads"/>
    <s v="Annual"/>
  </r>
  <r>
    <d v="2023-09-22T00:00:00"/>
    <s v="Sep"/>
    <s v="2023"/>
    <s v="Basma Nasser"/>
    <s v="Individual"/>
    <s v="Ads"/>
    <s v="Marketing"/>
    <s v="Dubai"/>
    <n v="6258"/>
    <n v="0.25"/>
    <n v="1564.5"/>
    <s v="New Sale"/>
    <s v="Ads"/>
    <s v="Monthly"/>
  </r>
  <r>
    <d v="2023-09-26T00:00:00"/>
    <s v="Sep"/>
    <s v="2023"/>
    <s v="Quanta Sphere Tech"/>
    <s v="Company"/>
    <s v="SEO"/>
    <s v="Copywriting"/>
    <s v="Abu Dhabi"/>
    <n v="7890"/>
    <n v="0.25"/>
    <n v="1972.5"/>
    <s v="Repeat Sale"/>
    <s v="Organic"/>
    <s v="Monthly"/>
  </r>
  <r>
    <d v="2023-09-26T00:00:00"/>
    <s v="Sep"/>
    <s v="2023"/>
    <s v="Octavium Digital"/>
    <s v="Company"/>
    <s v="Ads"/>
    <s v="Marketing"/>
    <s v="Ajman"/>
    <n v="7460"/>
    <n v="0.25"/>
    <n v="1865"/>
    <s v="New Sale"/>
    <s v="Ads"/>
    <s v="Quarterly"/>
  </r>
  <r>
    <d v="2023-09-28T00:00:00"/>
    <s v="Sep"/>
    <s v="2023"/>
    <s v="Fatima Saeed"/>
    <s v="Individual"/>
    <s v="Ads"/>
    <s v="Marketing"/>
    <s v="Ajman"/>
    <n v="6782"/>
    <n v="0.25"/>
    <n v="1695.5"/>
    <s v="Repeat Sale"/>
    <s v="Ads"/>
    <s v="Annual"/>
  </r>
  <r>
    <d v="2023-09-30T00:00:00"/>
    <s v="Sep"/>
    <s v="2023"/>
    <s v="Vantoro Enterprises"/>
    <s v="Company"/>
    <s v="Ads"/>
    <s v="Marketing"/>
    <s v="Sharjah"/>
    <n v="7220"/>
    <n v="0.25"/>
    <n v="1805"/>
    <s v="Repeat Sale"/>
    <s v="Organic"/>
    <s v="Monthly"/>
  </r>
  <r>
    <d v="2023-10-01T00:00:00"/>
    <s v="Oct"/>
    <s v="2023"/>
    <s v="Luminex Global"/>
    <s v="Company"/>
    <s v="Ads"/>
    <s v="Marketing"/>
    <s v="Dubai"/>
    <n v="6768"/>
    <n v="0.25"/>
    <n v="1692"/>
    <s v="Repeat Sale"/>
    <s v="Organic"/>
    <s v="Monthly"/>
  </r>
  <r>
    <d v="2023-10-02T00:00:00"/>
    <s v="Oct"/>
    <s v="2023"/>
    <s v="Nexa Core"/>
    <s v="Company"/>
    <s v="SEO"/>
    <s v="Copywriting"/>
    <s v="Abu Dhabi"/>
    <n v="6336"/>
    <n v="0.25"/>
    <n v="1584"/>
    <s v="New Sale"/>
    <s v="Ads"/>
    <s v="Quarterly"/>
  </r>
  <r>
    <d v="2023-10-04T00:00:00"/>
    <s v="Oct"/>
    <s v="2023"/>
    <s v="Rania Omar"/>
    <s v="Individual"/>
    <s v="Ads"/>
    <s v="Marketing"/>
    <s v="Dubai"/>
    <n v="6188"/>
    <n v="0.25"/>
    <n v="1547"/>
    <s v="Repeat Sale"/>
    <s v="Organic"/>
    <s v="Monthly"/>
  </r>
  <r>
    <d v="2023-10-05T00:00:00"/>
    <s v="Oct"/>
    <s v="2023"/>
    <s v="Yousuf Al Marri"/>
    <s v="Individual"/>
    <s v="Web Dev"/>
    <s v="Design"/>
    <s v="Abu Dhabi"/>
    <n v="5157"/>
    <n v="0.35"/>
    <n v="1804.9499999999998"/>
    <s v="New Sale"/>
    <s v="Walk in"/>
    <s v="Monthly"/>
  </r>
  <r>
    <d v="2023-10-06T00:00:00"/>
    <s v="Oct"/>
    <s v="2023"/>
    <s v="Zayed Al Nuaimi"/>
    <s v="Individual"/>
    <s v="SEO"/>
    <s v="Copywriting"/>
    <s v="Al Ain"/>
    <n v="6650"/>
    <n v="0.25"/>
    <n v="1662.5"/>
    <s v="Repeat Sale"/>
    <s v="Walk in"/>
    <s v="Quarterly"/>
  </r>
  <r>
    <d v="2023-10-08T00:00:00"/>
    <s v="Oct"/>
    <s v="2023"/>
    <s v="Aetherion Systems"/>
    <s v="Company"/>
    <s v="SEO"/>
    <s v="Copywriting"/>
    <s v="Sharjah"/>
    <n v="5451"/>
    <n v="0.25"/>
    <n v="1362.75"/>
    <s v="Repeat Sale"/>
    <s v="Organic"/>
    <s v="Annual"/>
  </r>
  <r>
    <d v="2023-10-10T00:00:00"/>
    <s v="Oct"/>
    <s v="2023"/>
    <s v="Saeed Al Saeed"/>
    <s v="Individual"/>
    <s v="SEO"/>
    <s v="Copywriting"/>
    <s v="Dubai"/>
    <n v="7652"/>
    <n v="0.25"/>
    <n v="1913"/>
    <s v="New Sale"/>
    <s v="Organic"/>
    <s v="Annual"/>
  </r>
  <r>
    <d v="2023-10-11T00:00:00"/>
    <s v="Oct"/>
    <s v="2023"/>
    <s v="Saeed Al Saeed"/>
    <s v="Individual"/>
    <s v="App Dev"/>
    <s v="Design"/>
    <s v="Ajman"/>
    <n v="6212"/>
    <n v="0.4"/>
    <n v="2484.8000000000002"/>
    <s v="Repeat Sale"/>
    <s v="Walk in"/>
    <s v="Bi Annual"/>
  </r>
  <r>
    <d v="2023-10-12T00:00:00"/>
    <s v="Oct"/>
    <s v="2023"/>
    <s v="Octavium Digital"/>
    <s v="Company"/>
    <s v="Social Media"/>
    <s v="Marketing"/>
    <s v="Abu Dhabi"/>
    <n v="6510"/>
    <n v="0.3"/>
    <n v="1953"/>
    <s v="New Sale"/>
    <s v="Walk in"/>
    <s v="Bi Annual"/>
  </r>
  <r>
    <d v="2023-10-13T00:00:00"/>
    <s v="Oct"/>
    <s v="2023"/>
    <s v="Tariq Al Zahrani"/>
    <s v="Individual"/>
    <s v="SEO"/>
    <s v="Copywriting"/>
    <s v="Al Ain"/>
    <n v="6658"/>
    <n v="0.25"/>
    <n v="1664.5"/>
    <s v="Repeat Sale"/>
    <s v="Organic"/>
    <s v="Quarterly"/>
  </r>
  <r>
    <d v="2023-10-16T00:00:00"/>
    <s v="Oct"/>
    <s v="2023"/>
    <s v="Saeed Al Saeed"/>
    <s v="Individual"/>
    <s v="Ads"/>
    <s v="Marketing"/>
    <s v="Ajman"/>
    <n v="5881"/>
    <n v="0.25"/>
    <n v="1470.25"/>
    <s v="New Sale"/>
    <s v="Ads"/>
    <s v="Annual"/>
  </r>
  <r>
    <d v="2023-10-21T00:00:00"/>
    <s v="Oct"/>
    <s v="2023"/>
    <s v="Octavium Digital"/>
    <s v="Company"/>
    <s v="Ads"/>
    <s v="Marketing"/>
    <s v="Dubai"/>
    <n v="5401"/>
    <n v="0.25"/>
    <n v="1350.25"/>
    <s v="New Sale"/>
    <s v="Ads"/>
    <s v="Quarterly"/>
  </r>
  <r>
    <d v="2023-10-21T00:00:00"/>
    <s v="Oct"/>
    <s v="2023"/>
    <s v="Stratoscope"/>
    <s v="Company"/>
    <s v="App Dev"/>
    <s v="Design"/>
    <s v="Al Ain"/>
    <n v="5510"/>
    <n v="0.4"/>
    <n v="2204"/>
    <s v="New Sale"/>
    <s v="Walk in"/>
    <s v="Annual"/>
  </r>
  <r>
    <d v="2023-10-22T00:00:00"/>
    <s v="Oct"/>
    <s v="2023"/>
    <s v="Ahmed Yousuf"/>
    <s v="Individual"/>
    <s v="Social Media"/>
    <s v="Marketing"/>
    <s v="Al Ain"/>
    <n v="5127"/>
    <n v="0.3"/>
    <n v="1538.1"/>
    <s v="Repeat Sale"/>
    <s v="Walk in"/>
    <s v="Annual"/>
  </r>
  <r>
    <d v="2023-10-25T00:00:00"/>
    <s v="Oct"/>
    <s v="2023"/>
    <s v="Stratoscope"/>
    <s v="Company"/>
    <s v="Social Media"/>
    <s v="Marketing"/>
    <s v="Dubai"/>
    <n v="6832"/>
    <n v="0.3"/>
    <n v="2049.6"/>
    <s v="New Sale"/>
    <s v="Ads"/>
    <s v="Monthly"/>
  </r>
  <r>
    <d v="2023-10-27T00:00:00"/>
    <s v="Oct"/>
    <s v="2023"/>
    <s v="Quanta Sphere Tech"/>
    <s v="Company"/>
    <s v="Social Media"/>
    <s v="Marketing"/>
    <s v="Dubai"/>
    <n v="7570"/>
    <n v="0.3"/>
    <n v="2271"/>
    <s v="Repeat Sale"/>
    <s v="Walk in"/>
    <s v="Quarterly"/>
  </r>
  <r>
    <d v="2023-10-28T00:00:00"/>
    <s v="Oct"/>
    <s v="2023"/>
    <s v="InfiNova Technologies"/>
    <s v="Company"/>
    <s v="Social Media"/>
    <s v="Marketing"/>
    <s v="Dubai"/>
    <n v="5494"/>
    <n v="0.3"/>
    <n v="1648.2"/>
    <s v="Repeat Sale"/>
    <s v="Walk in"/>
    <s v="Bi Annual"/>
  </r>
  <r>
    <d v="2023-10-29T00:00:00"/>
    <s v="Oct"/>
    <s v="2023"/>
    <s v="Saeed Al Saeed"/>
    <s v="Individual"/>
    <s v="Web Dev"/>
    <s v="Design"/>
    <s v="Abu Dhabi"/>
    <n v="6452"/>
    <n v="0.35"/>
    <n v="2258.1999999999998"/>
    <s v="Repeat Sale"/>
    <s v="Ads"/>
    <s v="Bi Annual"/>
  </r>
  <r>
    <d v="2023-10-31T00:00:00"/>
    <s v="Oct"/>
    <s v="2023"/>
    <s v="Aetherion Systems"/>
    <s v="Company"/>
    <s v="Social Media"/>
    <s v="Marketing"/>
    <s v="Abu Dhabi"/>
    <n v="5529"/>
    <n v="0.3"/>
    <n v="1658.7"/>
    <s v="New Sale"/>
    <s v="Organic"/>
    <s v="Quarterly"/>
  </r>
  <r>
    <d v="2023-10-31T00:00:00"/>
    <s v="Oct"/>
    <s v="2023"/>
    <s v="Layla Al Dhanhani"/>
    <s v="Individual"/>
    <s v="SEO"/>
    <s v="Copywriting"/>
    <s v="Dubai"/>
    <n v="6344"/>
    <n v="0.25"/>
    <n v="1586"/>
    <s v="Repeat Sale"/>
    <s v="Ads"/>
    <s v="Bi Annual"/>
  </r>
  <r>
    <d v="2023-11-02T00:00:00"/>
    <s v="Nov"/>
    <s v="2023"/>
    <s v="Octavium Digital"/>
    <s v="Company"/>
    <s v="App Dev"/>
    <s v="Design"/>
    <s v="Abu Dhabi"/>
    <n v="5826"/>
    <n v="0.4"/>
    <n v="2330.4"/>
    <s v="Repeat Sale"/>
    <s v="Walk in"/>
    <s v="Annual"/>
  </r>
  <r>
    <d v="2023-11-04T00:00:00"/>
    <s v="Nov"/>
    <s v="2023"/>
    <s v="Zephyr Industries"/>
    <s v="Company"/>
    <s v="App Dev"/>
    <s v="Design"/>
    <s v="Sharjah"/>
    <n v="5965"/>
    <n v="0.4"/>
    <n v="2386"/>
    <s v="Repeat Sale"/>
    <s v="Organic"/>
    <s v="Annual"/>
  </r>
  <r>
    <d v="2023-11-04T00:00:00"/>
    <s v="Nov"/>
    <s v="2023"/>
    <s v="Octavium Digital"/>
    <s v="Company"/>
    <s v="Web Dev"/>
    <s v="Design"/>
    <s v="Abu Dhabi"/>
    <n v="7621"/>
    <n v="0.35"/>
    <n v="2667.35"/>
    <s v="Repeat Sale"/>
    <s v="Organic"/>
    <s v="Bi Annual"/>
  </r>
  <r>
    <d v="2023-11-07T00:00:00"/>
    <s v="Nov"/>
    <s v="2023"/>
    <s v="InfiNova Technologies"/>
    <s v="Company"/>
    <s v="Ads"/>
    <s v="Marketing"/>
    <s v="Abu Dhabi"/>
    <n v="6591"/>
    <n v="0.25"/>
    <n v="1647.75"/>
    <s v="New Sale"/>
    <s v="Organic"/>
    <s v="Bi Annual"/>
  </r>
  <r>
    <d v="2023-11-07T00:00:00"/>
    <s v="Nov"/>
    <s v="2023"/>
    <s v="Rania Omar"/>
    <s v="Individual"/>
    <s v="Web Dev"/>
    <s v="Design"/>
    <s v="Ajman"/>
    <n v="5713"/>
    <n v="0.35"/>
    <n v="1999.55"/>
    <s v="Repeat Sale"/>
    <s v="Walk in"/>
    <s v="Monthly"/>
  </r>
  <r>
    <d v="2023-11-09T00:00:00"/>
    <s v="Nov"/>
    <s v="2023"/>
    <s v="Synergenix Labs"/>
    <s v="Company"/>
    <s v="SEO"/>
    <s v="Copywriting"/>
    <s v="Dubai"/>
    <n v="7690"/>
    <n v="0.25"/>
    <n v="1922.5"/>
    <s v="Repeat Sale"/>
    <s v="Organic"/>
    <s v="Monthly"/>
  </r>
  <r>
    <d v="2023-11-11T00:00:00"/>
    <s v="Nov"/>
    <s v="2023"/>
    <s v="Jamal Al Maktoum"/>
    <s v="Individual"/>
    <s v="Social Media"/>
    <s v="Marketing"/>
    <s v="Sharjah"/>
    <n v="6501"/>
    <n v="0.3"/>
    <n v="1950.3"/>
    <s v="Repeat Sale"/>
    <s v="Ads"/>
    <s v="Monthly"/>
  </r>
  <r>
    <d v="2023-11-13T00:00:00"/>
    <s v="Nov"/>
    <s v="2023"/>
    <s v="Noura Rashid"/>
    <s v="Individual"/>
    <s v="App Dev"/>
    <s v="Design"/>
    <s v="Abu Dhabi"/>
    <n v="7420"/>
    <n v="0.4"/>
    <n v="2968"/>
    <s v="Repeat Sale"/>
    <s v="Walk in"/>
    <s v="Bi Annual"/>
  </r>
  <r>
    <d v="2023-11-13T00:00:00"/>
    <s v="Nov"/>
    <s v="2023"/>
    <s v="Omar Ali"/>
    <s v="Individual"/>
    <s v="App Dev"/>
    <s v="Design"/>
    <s v="Dubai"/>
    <n v="7019"/>
    <n v="0.4"/>
    <n v="2807.6000000000004"/>
    <s v="Repeat Sale"/>
    <s v="Organic"/>
    <s v="Annual"/>
  </r>
  <r>
    <d v="2023-11-14T00:00:00"/>
    <s v="Nov"/>
    <s v="2023"/>
    <s v="Sarah Ahmed"/>
    <s v="Individual"/>
    <s v="SEO"/>
    <s v="Copywriting"/>
    <s v="Dubai"/>
    <n v="5842"/>
    <n v="0.25"/>
    <n v="1460.5"/>
    <s v="Repeat Sale"/>
    <s v="Ads"/>
    <s v="Quarterly"/>
  </r>
  <r>
    <d v="2023-11-15T00:00:00"/>
    <s v="Nov"/>
    <s v="2023"/>
    <s v="Basma Nasser"/>
    <s v="Individual"/>
    <s v="SEO"/>
    <s v="Copywriting"/>
    <s v="Dubai"/>
    <n v="5206"/>
    <n v="0.25"/>
    <n v="1301.5"/>
    <s v="Repeat Sale"/>
    <s v="Ads"/>
    <s v="Bi Annual"/>
  </r>
  <r>
    <d v="2023-11-16T00:00:00"/>
    <s v="Nov"/>
    <s v="2023"/>
    <s v="Quanta Sphere Tech"/>
    <s v="Company"/>
    <s v="Web Dev"/>
    <s v="Design"/>
    <s v="Dubai"/>
    <n v="5668"/>
    <n v="0.35"/>
    <n v="1983.8"/>
    <s v="New Sale"/>
    <s v="Organic"/>
    <s v="Annual"/>
  </r>
  <r>
    <d v="2023-11-21T00:00:00"/>
    <s v="Nov"/>
    <s v="2023"/>
    <s v="Vantoro Enterprises"/>
    <s v="Company"/>
    <s v="Web Dev"/>
    <s v="Design"/>
    <s v="Dubai"/>
    <n v="6568"/>
    <n v="0.35"/>
    <n v="2298.7999999999997"/>
    <s v="Repeat Sale"/>
    <s v="Organic"/>
    <s v="Bi Annual"/>
  </r>
  <r>
    <d v="2023-11-21T00:00:00"/>
    <s v="Nov"/>
    <s v="2023"/>
    <s v="Fatima Saeed"/>
    <s v="Individual"/>
    <s v="Ads"/>
    <s v="Marketing"/>
    <s v="Abu Dhabi"/>
    <n v="6041"/>
    <n v="0.25"/>
    <n v="1510.25"/>
    <s v="New Sale"/>
    <s v="Ads"/>
    <s v="Quarterly"/>
  </r>
  <r>
    <d v="2023-11-24T00:00:00"/>
    <s v="Nov"/>
    <s v="2023"/>
    <s v="Fatima Saeed"/>
    <s v="Individual"/>
    <s v="Social Media"/>
    <s v="Marketing"/>
    <s v="Abu Dhabi"/>
    <n v="5552"/>
    <n v="0.3"/>
    <n v="1665.6"/>
    <s v="Repeat Sale"/>
    <s v="Organic"/>
    <s v="Bi Annual"/>
  </r>
  <r>
    <d v="2023-11-25T00:00:00"/>
    <s v="Nov"/>
    <s v="2023"/>
    <s v="Altura Networks"/>
    <s v="Company"/>
    <s v="Ads"/>
    <s v="Marketing"/>
    <s v="Sharjah"/>
    <n v="5794"/>
    <n v="0.25"/>
    <n v="1448.5"/>
    <s v="Repeat Sale"/>
    <s v="Ads"/>
    <s v="Quarterly"/>
  </r>
  <r>
    <d v="2023-11-26T00:00:00"/>
    <s v="Nov"/>
    <s v="2023"/>
    <s v="Omar Ali"/>
    <s v="Individual"/>
    <s v="Social Media"/>
    <s v="Marketing"/>
    <s v="Ajman"/>
    <n v="6214"/>
    <n v="0.3"/>
    <n v="1864.1999999999998"/>
    <s v="Repeat Sale"/>
    <s v="Organic"/>
    <s v="Monthly"/>
  </r>
  <r>
    <d v="2023-11-27T00:00:00"/>
    <s v="Nov"/>
    <s v="2023"/>
    <s v="Synergenix Labs"/>
    <s v="Company"/>
    <s v="Ads"/>
    <s v="Marketing"/>
    <s v="Abu Dhabi"/>
    <n v="7505"/>
    <n v="0.25"/>
    <n v="1876.25"/>
    <s v="Repeat Sale"/>
    <s v="Organic"/>
    <s v="Monthly"/>
  </r>
  <r>
    <d v="2023-11-28T00:00:00"/>
    <s v="Nov"/>
    <s v="2023"/>
    <s v="Solvium Solutions"/>
    <s v="Company"/>
    <s v="SEO"/>
    <s v="Copywriting"/>
    <s v="Dubai"/>
    <n v="7453"/>
    <n v="0.25"/>
    <n v="1863.25"/>
    <s v="New Sale"/>
    <s v="Ads"/>
    <s v="Bi Annual"/>
  </r>
  <r>
    <d v="2023-11-30T00:00:00"/>
    <s v="Nov"/>
    <s v="2023"/>
    <s v="Layla Al Dhanhani"/>
    <s v="Individual"/>
    <s v="SEO"/>
    <s v="Copywriting"/>
    <s v="Sharjah"/>
    <n v="5939"/>
    <n v="0.25"/>
    <n v="1484.75"/>
    <s v="New Sale"/>
    <s v="Ads"/>
    <s v="Monthly"/>
  </r>
  <r>
    <d v="2023-12-04T00:00:00"/>
    <s v="Dec"/>
    <s v="2023"/>
    <s v="Vantoro Enterprises"/>
    <s v="Company"/>
    <s v="Ads"/>
    <s v="Marketing"/>
    <s v="Dubai"/>
    <n v="5833"/>
    <n v="0.25"/>
    <n v="1458.25"/>
    <s v="Repeat Sale"/>
    <s v="Walk in"/>
    <s v="Annual"/>
  </r>
  <r>
    <d v="2023-12-04T00:00:00"/>
    <s v="Dec"/>
    <s v="2023"/>
    <s v="Omar Ali"/>
    <s v="Individual"/>
    <s v="Web Dev"/>
    <s v="Design"/>
    <s v="Sharjah"/>
    <n v="6702"/>
    <n v="0.35"/>
    <n v="2345.6999999999998"/>
    <s v="Repeat Sale"/>
    <s v="Walk in"/>
    <s v="Bi Annual"/>
  </r>
  <r>
    <d v="2023-12-05T00:00:00"/>
    <s v="Dec"/>
    <s v="2023"/>
    <s v="Zayed Al Nuaimi"/>
    <s v="Individual"/>
    <s v="Ads"/>
    <s v="Marketing"/>
    <s v="Ajman"/>
    <n v="7465"/>
    <n v="0.25"/>
    <n v="1866.25"/>
    <s v="Repeat Sale"/>
    <s v="Walk in"/>
    <s v="Bi Annual"/>
  </r>
  <r>
    <d v="2023-12-14T00:00:00"/>
    <s v="Dec"/>
    <s v="2023"/>
    <s v="Mona Al Humaidi"/>
    <s v="Individual"/>
    <s v="App Dev"/>
    <s v="Design"/>
    <s v="Sharjah"/>
    <n v="6348"/>
    <n v="0.4"/>
    <n v="2539.2000000000003"/>
    <s v="New Sale"/>
    <s v="Ads"/>
    <s v="Annual"/>
  </r>
  <r>
    <d v="2023-12-14T00:00:00"/>
    <s v="Dec"/>
    <s v="2023"/>
    <s v="Saeed Al Saeed"/>
    <s v="Individual"/>
    <s v="SEO"/>
    <s v="Copywriting"/>
    <s v="Abu Dhabi"/>
    <n v="6799"/>
    <n v="0.25"/>
    <n v="1699.75"/>
    <s v="Repeat Sale"/>
    <s v="Walk in"/>
    <s v="Quarterly"/>
  </r>
  <r>
    <d v="2023-12-14T00:00:00"/>
    <s v="Dec"/>
    <s v="2023"/>
    <s v="Hanan Al Khatri"/>
    <s v="Individual"/>
    <s v="Ads"/>
    <s v="Marketing"/>
    <s v="Abu Dhabi"/>
    <n v="7574"/>
    <n v="0.25"/>
    <n v="1893.5"/>
    <s v="New Sale"/>
    <s v="Ads"/>
    <s v="Monthly"/>
  </r>
  <r>
    <d v="2023-12-15T00:00:00"/>
    <s v="Dec"/>
    <s v="2023"/>
    <s v="Mariam Al Shamsi"/>
    <s v="Individual"/>
    <s v="Web Dev"/>
    <s v="Design"/>
    <s v="Al Ain"/>
    <n v="6208"/>
    <n v="0.35"/>
    <n v="2172.7999999999997"/>
    <s v="Repeat Sale"/>
    <s v="Walk in"/>
    <s v="Annual"/>
  </r>
  <r>
    <d v="2023-12-16T00:00:00"/>
    <s v="Dec"/>
    <s v="2023"/>
    <s v="Zephyr Industries"/>
    <s v="Company"/>
    <s v="Ads"/>
    <s v="Marketing"/>
    <s v="Abu Dhabi"/>
    <n v="7689"/>
    <n v="0.25"/>
    <n v="1922.25"/>
    <s v="Repeat Sale"/>
    <s v="Ads"/>
    <s v="Monthly"/>
  </r>
  <r>
    <d v="2023-12-17T00:00:00"/>
    <s v="Dec"/>
    <s v="2023"/>
    <s v="Stratoscope"/>
    <s v="Company"/>
    <s v="App Dev"/>
    <s v="Design"/>
    <s v="Dubai"/>
    <n v="6062"/>
    <n v="0.4"/>
    <n v="2424.8000000000002"/>
    <s v="New Sale"/>
    <s v="Walk in"/>
    <s v="Annual"/>
  </r>
  <r>
    <d v="2023-12-18T00:00:00"/>
    <s v="Dec"/>
    <s v="2023"/>
    <s v="Nexa Core"/>
    <s v="Company"/>
    <s v="Ads"/>
    <s v="Marketing"/>
    <s v="Dubai"/>
    <n v="6387"/>
    <n v="0.25"/>
    <n v="1596.75"/>
    <s v="New Sale"/>
    <s v="Organic"/>
    <s v="Monthly"/>
  </r>
  <r>
    <d v="2023-12-19T00:00:00"/>
    <s v="Dec"/>
    <s v="2023"/>
    <s v="Stratoscope"/>
    <s v="Company"/>
    <s v="SEO"/>
    <s v="Copywriting"/>
    <s v="Sharjah"/>
    <n v="5222"/>
    <n v="0.25"/>
    <n v="1305.5"/>
    <s v="New Sale"/>
    <s v="Walk in"/>
    <s v="Quarterly"/>
  </r>
  <r>
    <d v="2023-12-19T00:00:00"/>
    <s v="Dec"/>
    <s v="2023"/>
    <s v="Nexa Core"/>
    <s v="Company"/>
    <s v="SEO"/>
    <s v="Copywriting"/>
    <s v="Sharjah"/>
    <n v="5570"/>
    <n v="0.25"/>
    <n v="1392.5"/>
    <s v="Repeat Sale"/>
    <s v="Ads"/>
    <s v="Bi Annual"/>
  </r>
  <r>
    <d v="2023-12-19T00:00:00"/>
    <s v="Dec"/>
    <s v="2023"/>
    <s v="Sarah Ahmed"/>
    <s v="Individual"/>
    <s v="App Dev"/>
    <s v="Design"/>
    <s v="Abu Dhabi"/>
    <n v="7799"/>
    <n v="0.4"/>
    <n v="3119.6000000000004"/>
    <s v="New Sale"/>
    <s v="Ads"/>
    <s v="Monthly"/>
  </r>
  <r>
    <d v="2023-12-20T00:00:00"/>
    <s v="Dec"/>
    <s v="2023"/>
    <s v="Quanta Sphere Tech"/>
    <s v="Company"/>
    <s v="Social Media"/>
    <s v="Marketing"/>
    <s v="Al Ain"/>
    <n v="7853"/>
    <n v="0.3"/>
    <n v="2355.9"/>
    <s v="Repeat Sale"/>
    <s v="Organic"/>
    <s v="Annual"/>
  </r>
  <r>
    <d v="2023-12-20T00:00:00"/>
    <s v="Dec"/>
    <s v="2023"/>
    <s v="Mariam Al Shamsi"/>
    <s v="Individual"/>
    <s v="Web Dev"/>
    <s v="Design"/>
    <s v="Dubai"/>
    <n v="6776"/>
    <n v="0.35"/>
    <n v="2371.6"/>
    <s v="New Sale"/>
    <s v="Walk in"/>
    <s v="Quarterly"/>
  </r>
  <r>
    <d v="2023-12-22T00:00:00"/>
    <s v="Dec"/>
    <s v="2023"/>
    <s v="Sami Al Shamsi"/>
    <s v="Individual"/>
    <s v="SEO"/>
    <s v="Copywriting"/>
    <s v="Dubai"/>
    <n v="7306"/>
    <n v="0.25"/>
    <n v="1826.5"/>
    <s v="Repeat Sale"/>
    <s v="Walk in"/>
    <s v="Monthly"/>
  </r>
  <r>
    <d v="2023-12-22T00:00:00"/>
    <s v="Dec"/>
    <s v="2023"/>
    <s v="Saeed Al Saeed"/>
    <s v="Individual"/>
    <s v="Social Media"/>
    <s v="Marketing"/>
    <s v="Ajman"/>
    <n v="5882"/>
    <n v="0.3"/>
    <n v="1764.6"/>
    <s v="New Sale"/>
    <s v="Walk in"/>
    <s v="Monthly"/>
  </r>
  <r>
    <d v="2023-12-23T00:00:00"/>
    <s v="Dec"/>
    <s v="2023"/>
    <s v="Zephyr Industries"/>
    <s v="Company"/>
    <s v="Web Dev"/>
    <s v="Design"/>
    <s v="Dubai"/>
    <n v="6336"/>
    <n v="0.35"/>
    <n v="2217.6"/>
    <s v="New Sale"/>
    <s v="Ads"/>
    <s v="Bi Annual"/>
  </r>
  <r>
    <d v="2023-12-23T00:00:00"/>
    <s v="Dec"/>
    <s v="2023"/>
    <s v="Zephyr Industries"/>
    <s v="Company"/>
    <s v="Web Dev"/>
    <s v="Design"/>
    <s v="Al Ain"/>
    <n v="7642"/>
    <n v="0.35"/>
    <n v="2674.7"/>
    <s v="New Sale"/>
    <s v="Organic"/>
    <s v="Quarterly"/>
  </r>
  <r>
    <d v="2023-12-27T00:00:00"/>
    <s v="Dec"/>
    <s v="2023"/>
    <s v="Luminex Global"/>
    <s v="Company"/>
    <s v="Ads"/>
    <s v="Marketing"/>
    <s v="Dubai"/>
    <n v="5260"/>
    <n v="0.25"/>
    <n v="1315"/>
    <s v="Repeat Sale"/>
    <s v="Ads"/>
    <s v="Bi Annual"/>
  </r>
  <r>
    <d v="2024-01-03T00:00:00"/>
    <s v="Jan"/>
    <s v="2024"/>
    <s v="Octavium Digital"/>
    <s v="Company"/>
    <s v="Web Dev"/>
    <s v="Design"/>
    <s v="Abu Dhabi"/>
    <n v="5603"/>
    <n v="0.35"/>
    <n v="1961.05"/>
    <s v="New Sale"/>
    <s v="Walk in"/>
    <s v="Quarterly"/>
  </r>
  <r>
    <d v="2024-01-08T00:00:00"/>
    <s v="Jan"/>
    <s v="2024"/>
    <s v="Noura Rashid"/>
    <s v="Individual"/>
    <s v="SEO"/>
    <s v="Copywriting"/>
    <s v="Ajman"/>
    <n v="4422"/>
    <n v="0.25"/>
    <n v="1105.5"/>
    <s v="Repeat Sale"/>
    <s v="Walk in"/>
    <s v="Bi Annual"/>
  </r>
  <r>
    <d v="2024-01-08T00:00:00"/>
    <s v="Jan"/>
    <s v="2024"/>
    <s v="Fatima Saeed"/>
    <s v="Individual"/>
    <s v="SEO"/>
    <s v="Copywriting"/>
    <s v="Dubai"/>
    <n v="5895"/>
    <n v="0.25"/>
    <n v="1473.75"/>
    <s v="New Sale"/>
    <s v="Walk in"/>
    <s v="Bi Annual"/>
  </r>
  <r>
    <d v="2024-01-10T00:00:00"/>
    <s v="Jan"/>
    <s v="2024"/>
    <s v="Octavium Digital"/>
    <s v="Company"/>
    <s v="SEO"/>
    <s v="Copywriting"/>
    <s v="Al Ain"/>
    <n v="4287"/>
    <n v="0.25"/>
    <n v="1071.75"/>
    <s v="New Sale"/>
    <s v="Ads"/>
    <s v="Bi Annual"/>
  </r>
  <r>
    <d v="2024-01-10T00:00:00"/>
    <s v="Jan"/>
    <s v="2024"/>
    <s v="Ahmed Yousuf"/>
    <s v="Individual"/>
    <s v="App Dev"/>
    <s v="Design"/>
    <s v="Sharjah"/>
    <n v="4092"/>
    <n v="0.4"/>
    <n v="1636.8000000000002"/>
    <s v="Repeat Sale"/>
    <s v="Organic"/>
    <s v="Bi Annual"/>
  </r>
  <r>
    <d v="2024-01-11T00:00:00"/>
    <s v="Jan"/>
    <s v="2024"/>
    <s v="Stratoscope"/>
    <s v="Company"/>
    <s v="Ads"/>
    <s v="Marketing"/>
    <s v="Dubai"/>
    <n v="4004"/>
    <n v="0.25"/>
    <n v="1001"/>
    <s v="Repeat Sale"/>
    <s v="Ads"/>
    <s v="Monthly"/>
  </r>
  <r>
    <d v="2024-01-11T00:00:00"/>
    <s v="Jan"/>
    <s v="2024"/>
    <s v="Altura Networks"/>
    <s v="Company"/>
    <s v="Social Media"/>
    <s v="Marketing"/>
    <s v="Dubai"/>
    <n v="5209"/>
    <n v="0.3"/>
    <n v="1562.7"/>
    <s v="New Sale"/>
    <s v="Organic"/>
    <s v="Monthly"/>
  </r>
  <r>
    <d v="2024-01-12T00:00:00"/>
    <s v="Jan"/>
    <s v="2024"/>
    <s v="Zephyr Industries"/>
    <s v="Company"/>
    <s v="SEO"/>
    <s v="Copywriting"/>
    <s v="Abu Dhabi"/>
    <n v="6903"/>
    <n v="0.25"/>
    <n v="1725.75"/>
    <s v="New Sale"/>
    <s v="Organic"/>
    <s v="Bi Annual"/>
  </r>
  <r>
    <d v="2024-01-15T00:00:00"/>
    <s v="Jan"/>
    <s v="2024"/>
    <s v="Altura Networks"/>
    <s v="Company"/>
    <s v="App Dev"/>
    <s v="Design"/>
    <s v="Ajman"/>
    <n v="6945"/>
    <n v="0.4"/>
    <n v="2778"/>
    <s v="Repeat Sale"/>
    <s v="Walk in"/>
    <s v="Annual"/>
  </r>
  <r>
    <d v="2024-01-15T00:00:00"/>
    <s v="Jan"/>
    <s v="2024"/>
    <s v="Luminex Global"/>
    <s v="Company"/>
    <s v="Ads"/>
    <s v="Marketing"/>
    <s v="Dubai"/>
    <n v="6330"/>
    <n v="0.25"/>
    <n v="1582.5"/>
    <s v="Repeat Sale"/>
    <s v="Walk in"/>
    <s v="Monthly"/>
  </r>
  <r>
    <d v="2024-01-15T00:00:00"/>
    <s v="Jan"/>
    <s v="2024"/>
    <s v="Hanan Al Khatri"/>
    <s v="Individual"/>
    <s v="Web Dev"/>
    <s v="Design"/>
    <s v="Al Ain"/>
    <n v="3203"/>
    <n v="0.35"/>
    <n v="1121.05"/>
    <s v="Repeat Sale"/>
    <s v="Walk in"/>
    <s v="Monthly"/>
  </r>
  <r>
    <d v="2024-01-16T00:00:00"/>
    <s v="Jan"/>
    <s v="2024"/>
    <s v="Basma Nasser"/>
    <s v="Individual"/>
    <s v="Ads"/>
    <s v="Marketing"/>
    <s v="Dubai"/>
    <n v="6850"/>
    <n v="0.25"/>
    <n v="1712.5"/>
    <s v="Repeat Sale"/>
    <s v="Walk in"/>
    <s v="Bi Annual"/>
  </r>
  <r>
    <d v="2024-01-19T00:00:00"/>
    <s v="Jan"/>
    <s v="2024"/>
    <s v="Vantoro Enterprises"/>
    <s v="Company"/>
    <s v="Ads"/>
    <s v="Marketing"/>
    <s v="Al Ain"/>
    <n v="5799"/>
    <n v="0.25"/>
    <n v="1449.75"/>
    <s v="New Sale"/>
    <s v="Ads"/>
    <s v="Bi Annual"/>
  </r>
  <r>
    <d v="2024-01-25T00:00:00"/>
    <s v="Jan"/>
    <s v="2024"/>
    <s v="Noura Rashid"/>
    <s v="Individual"/>
    <s v="Ads"/>
    <s v="Marketing"/>
    <s v="Dubai"/>
    <n v="5999"/>
    <n v="0.25"/>
    <n v="1499.75"/>
    <s v="New Sale"/>
    <s v="Ads"/>
    <s v="Monthly"/>
  </r>
  <r>
    <d v="2024-01-28T00:00:00"/>
    <s v="Jan"/>
    <s v="2024"/>
    <s v="Sami Al Shamsi"/>
    <s v="Individual"/>
    <s v="SEO"/>
    <s v="Copywriting"/>
    <s v="Dubai"/>
    <n v="5251"/>
    <n v="0.25"/>
    <n v="1312.75"/>
    <s v="Repeat Sale"/>
    <s v="Organic"/>
    <s v="Monthly"/>
  </r>
  <r>
    <d v="2024-01-29T00:00:00"/>
    <s v="Jan"/>
    <s v="2024"/>
    <s v="Solvium Solutions"/>
    <s v="Company"/>
    <s v="Ads"/>
    <s v="Marketing"/>
    <s v="Abu Dhabi"/>
    <n v="4086"/>
    <n v="0.25"/>
    <n v="1021.5"/>
    <s v="Repeat Sale"/>
    <s v="Walk in"/>
    <s v="Monthly"/>
  </r>
  <r>
    <d v="2024-01-29T00:00:00"/>
    <s v="Jan"/>
    <s v="2024"/>
    <s v="Hanan Al Khatri"/>
    <s v="Individual"/>
    <s v="Web Dev"/>
    <s v="Design"/>
    <s v="Abu Dhabi"/>
    <n v="6257"/>
    <n v="0.35"/>
    <n v="2189.9499999999998"/>
    <s v="New Sale"/>
    <s v="Ads"/>
    <s v="Monthly"/>
  </r>
  <r>
    <d v="2024-01-29T00:00:00"/>
    <s v="Jan"/>
    <s v="2024"/>
    <s v="Omar Ali"/>
    <s v="Individual"/>
    <s v="Ads"/>
    <s v="Marketing"/>
    <s v="Ajman"/>
    <n v="4346"/>
    <n v="0.25"/>
    <n v="1086.5"/>
    <s v="Repeat Sale"/>
    <s v="Walk in"/>
    <s v="Bi Annual"/>
  </r>
  <r>
    <d v="2024-01-30T00:00:00"/>
    <s v="Jan"/>
    <s v="2024"/>
    <s v="Yousuf Al Marri"/>
    <s v="Individual"/>
    <s v="SEO"/>
    <s v="Copywriting"/>
    <s v="Al Ain"/>
    <n v="5588"/>
    <n v="0.25"/>
    <n v="1397"/>
    <s v="New Sale"/>
    <s v="Organic"/>
    <s v="Quarterly"/>
  </r>
  <r>
    <d v="2024-01-31T00:00:00"/>
    <s v="Jan"/>
    <s v="2024"/>
    <s v="Nexa Core"/>
    <s v="Company"/>
    <s v="SEO"/>
    <s v="Copywriting"/>
    <s v="Dubai"/>
    <n v="3328"/>
    <n v="0.25"/>
    <n v="832"/>
    <s v="New Sale"/>
    <s v="Ads"/>
    <s v="Monthly"/>
  </r>
  <r>
    <d v="2024-02-02T00:00:00"/>
    <s v="Feb"/>
    <s v="2024"/>
    <s v="Saeed Al Saeed"/>
    <s v="Individual"/>
    <s v="SEO"/>
    <s v="Copywriting"/>
    <s v="Sharjah"/>
    <n v="3708"/>
    <n v="0.25"/>
    <n v="927"/>
    <s v="New Sale"/>
    <s v="Walk in"/>
    <s v="Quarterly"/>
  </r>
  <r>
    <d v="2024-02-03T00:00:00"/>
    <s v="Feb"/>
    <s v="2024"/>
    <s v="Altura Networks"/>
    <s v="Company"/>
    <s v="Social Media"/>
    <s v="Marketing"/>
    <s v="Dubai"/>
    <n v="3786"/>
    <n v="0.3"/>
    <n v="1135.8"/>
    <s v="New Sale"/>
    <s v="Organic"/>
    <s v="Bi Annual"/>
  </r>
  <r>
    <d v="2024-02-06T00:00:00"/>
    <s v="Feb"/>
    <s v="2024"/>
    <s v="InfiNova Technologies"/>
    <s v="Company"/>
    <s v="Social Media"/>
    <s v="Marketing"/>
    <s v="Dubai"/>
    <n v="4238"/>
    <n v="0.3"/>
    <n v="1271.3999999999999"/>
    <s v="Repeat Sale"/>
    <s v="Walk in"/>
    <s v="Annual"/>
  </r>
  <r>
    <d v="2024-02-06T00:00:00"/>
    <s v="Feb"/>
    <s v="2024"/>
    <s v="Rania Omar"/>
    <s v="Individual"/>
    <s v="SEO"/>
    <s v="Copywriting"/>
    <s v="Ajman"/>
    <n v="2573"/>
    <n v="0.25"/>
    <n v="643.25"/>
    <s v="New Sale"/>
    <s v="Walk in"/>
    <s v="Quarterly"/>
  </r>
  <r>
    <d v="2024-02-08T00:00:00"/>
    <s v="Feb"/>
    <s v="2024"/>
    <s v="Octavium Digital"/>
    <s v="Company"/>
    <s v="Ads"/>
    <s v="Marketing"/>
    <s v="Al Ain"/>
    <n v="6194"/>
    <n v="0.25"/>
    <n v="1548.5"/>
    <s v="Repeat Sale"/>
    <s v="Walk in"/>
    <s v="Bi Annual"/>
  </r>
  <r>
    <d v="2024-02-11T00:00:00"/>
    <s v="Feb"/>
    <s v="2024"/>
    <s v="Vantoro Enterprises"/>
    <s v="Company"/>
    <s v="App Dev"/>
    <s v="Design"/>
    <s v="Ajman"/>
    <n v="6167"/>
    <n v="0.4"/>
    <n v="2466.8000000000002"/>
    <s v="Repeat Sale"/>
    <s v="Organic"/>
    <s v="Monthly"/>
  </r>
  <r>
    <d v="2024-02-11T00:00:00"/>
    <s v="Feb"/>
    <s v="2024"/>
    <s v="Laila Al Mulla"/>
    <s v="Individual"/>
    <s v="Social Media"/>
    <s v="Marketing"/>
    <s v="Abu Dhabi"/>
    <n v="2704"/>
    <n v="0.3"/>
    <n v="811.19999999999993"/>
    <s v="Repeat Sale"/>
    <s v="Walk in"/>
    <s v="Bi Annual"/>
  </r>
  <r>
    <d v="2024-02-12T00:00:00"/>
    <s v="Feb"/>
    <s v="2024"/>
    <s v="Zayed Al Nuaimi"/>
    <s v="Individual"/>
    <s v="SEO"/>
    <s v="Copywriting"/>
    <s v="Ajman"/>
    <n v="7145"/>
    <n v="0.25"/>
    <n v="1786.25"/>
    <s v="New Sale"/>
    <s v="Ads"/>
    <s v="Monthly"/>
  </r>
  <r>
    <d v="2024-02-12T00:00:00"/>
    <s v="Feb"/>
    <s v="2024"/>
    <s v="Yousuf Al Marri"/>
    <s v="Individual"/>
    <s v="SEO"/>
    <s v="Copywriting"/>
    <s v="Abu Dhabi"/>
    <n v="6330"/>
    <n v="0.25"/>
    <n v="1582.5"/>
    <s v="Repeat Sale"/>
    <s v="Walk in"/>
    <s v="Monthly"/>
  </r>
  <r>
    <d v="2024-02-17T00:00:00"/>
    <s v="Feb"/>
    <s v="2024"/>
    <s v="Stratoscope"/>
    <s v="Company"/>
    <s v="Ads"/>
    <s v="Marketing"/>
    <s v="Ajman"/>
    <n v="6448"/>
    <n v="0.25"/>
    <n v="1612"/>
    <s v="Repeat Sale"/>
    <s v="Organic"/>
    <s v="Monthly"/>
  </r>
  <r>
    <d v="2024-02-17T00:00:00"/>
    <s v="Feb"/>
    <s v="2024"/>
    <s v="Octavium Digital"/>
    <s v="Company"/>
    <s v="App Dev"/>
    <s v="Design"/>
    <s v="Dubai"/>
    <n v="7181"/>
    <n v="0.4"/>
    <n v="2872.4"/>
    <s v="Repeat Sale"/>
    <s v="Walk in"/>
    <s v="Bi Annual"/>
  </r>
  <r>
    <d v="2024-02-18T00:00:00"/>
    <s v="Feb"/>
    <s v="2024"/>
    <s v="Luminex Global"/>
    <s v="Company"/>
    <s v="SEO"/>
    <s v="Copywriting"/>
    <s v="Abu Dhabi"/>
    <n v="4720"/>
    <n v="0.25"/>
    <n v="1180"/>
    <s v="Repeat Sale"/>
    <s v="Organic"/>
    <s v="Bi Annual"/>
  </r>
  <r>
    <d v="2024-02-19T00:00:00"/>
    <s v="Feb"/>
    <s v="2024"/>
    <s v="Vantoro Enterprises"/>
    <s v="Company"/>
    <s v="Web Dev"/>
    <s v="Design"/>
    <s v="Sharjah"/>
    <n v="3152"/>
    <n v="0.35"/>
    <n v="1103.1999999999998"/>
    <s v="New Sale"/>
    <s v="Walk in"/>
    <s v="Monthly"/>
  </r>
  <r>
    <d v="2024-02-21T00:00:00"/>
    <s v="Feb"/>
    <s v="2024"/>
    <s v="Sarah Ahmed"/>
    <s v="Individual"/>
    <s v="Ads"/>
    <s v="Marketing"/>
    <s v="Abu Dhabi"/>
    <n v="4873"/>
    <n v="0.25"/>
    <n v="1218.25"/>
    <s v="Repeat Sale"/>
    <s v="Organic"/>
    <s v="Monthly"/>
  </r>
  <r>
    <d v="2024-02-22T00:00:00"/>
    <s v="Feb"/>
    <s v="2024"/>
    <s v="Aetherion Systems"/>
    <s v="Company"/>
    <s v="Social Media"/>
    <s v="Marketing"/>
    <s v="Dubai"/>
    <n v="6525"/>
    <n v="0.3"/>
    <n v="1957.5"/>
    <s v="Repeat Sale"/>
    <s v="Ads"/>
    <s v="Quarterly"/>
  </r>
  <r>
    <d v="2024-02-23T00:00:00"/>
    <s v="Feb"/>
    <s v="2024"/>
    <s v="Zayed Al Nuaimi"/>
    <s v="Individual"/>
    <s v="App Dev"/>
    <s v="Design"/>
    <s v="Dubai"/>
    <n v="3926"/>
    <n v="0.4"/>
    <n v="1570.4"/>
    <s v="Repeat Sale"/>
    <s v="Walk in"/>
    <s v="Bi Annual"/>
  </r>
  <r>
    <d v="2024-02-27T00:00:00"/>
    <s v="Feb"/>
    <s v="2024"/>
    <s v="Aetherion Systems"/>
    <s v="Company"/>
    <s v="Web Dev"/>
    <s v="Design"/>
    <s v="Dubai"/>
    <n v="5071"/>
    <n v="0.35"/>
    <n v="1774.85"/>
    <s v="Repeat Sale"/>
    <s v="Ads"/>
    <s v="Monthly"/>
  </r>
  <r>
    <d v="2024-02-27T00:00:00"/>
    <s v="Feb"/>
    <s v="2024"/>
    <s v="Ali Juma"/>
    <s v="Individual"/>
    <s v="Ads"/>
    <s v="Marketing"/>
    <s v="Sharjah"/>
    <n v="3656"/>
    <n v="0.25"/>
    <n v="914"/>
    <s v="New Sale"/>
    <s v="Organic"/>
    <s v="Bi Annual"/>
  </r>
  <r>
    <d v="2024-02-27T00:00:00"/>
    <s v="Feb"/>
    <s v="2024"/>
    <s v="Khaled Al Farsi"/>
    <s v="Individual"/>
    <s v="Web Dev"/>
    <s v="Design"/>
    <s v="Sharjah"/>
    <n v="3210"/>
    <n v="0.35"/>
    <n v="1123.5"/>
    <s v="Repeat Sale"/>
    <s v="Ads"/>
    <s v="Bi Annual"/>
  </r>
  <r>
    <d v="2024-02-28T00:00:00"/>
    <s v="Feb"/>
    <s v="2024"/>
    <s v="Mona Al Humaidi"/>
    <s v="Individual"/>
    <s v="Web Dev"/>
    <s v="Design"/>
    <s v="Ajman"/>
    <n v="6265"/>
    <n v="0.35"/>
    <n v="2192.75"/>
    <s v="New Sale"/>
    <s v="Walk in"/>
    <s v="Bi Annual"/>
  </r>
  <r>
    <d v="2024-03-01T00:00:00"/>
    <s v="Mar"/>
    <s v="2024"/>
    <s v="Stratoscope"/>
    <s v="Company"/>
    <s v="Web Dev"/>
    <s v="Design"/>
    <s v="Sharjah"/>
    <n v="2473"/>
    <n v="0.35"/>
    <n v="865.55"/>
    <s v="Repeat Sale"/>
    <s v="Ads"/>
    <s v="Quarterly"/>
  </r>
  <r>
    <d v="2024-03-01T00:00:00"/>
    <s v="Mar"/>
    <s v="2024"/>
    <s v="Sarah Ahmed"/>
    <s v="Individual"/>
    <s v="Ads"/>
    <s v="Marketing"/>
    <s v="Ajman"/>
    <n v="3162"/>
    <n v="0.25"/>
    <n v="790.5"/>
    <s v="New Sale"/>
    <s v="Walk in"/>
    <s v="Annual"/>
  </r>
  <r>
    <d v="2024-03-04T00:00:00"/>
    <s v="Mar"/>
    <s v="2024"/>
    <s v="Aetherion Systems"/>
    <s v="Company"/>
    <s v="Web Dev"/>
    <s v="Design"/>
    <s v="Ajman"/>
    <n v="6880"/>
    <n v="0.35"/>
    <n v="2408"/>
    <s v="New Sale"/>
    <s v="Organic"/>
    <s v="Bi Annual"/>
  </r>
  <r>
    <d v="2024-03-05T00:00:00"/>
    <s v="Mar"/>
    <s v="2024"/>
    <s v="Omar Ali"/>
    <s v="Individual"/>
    <s v="App Dev"/>
    <s v="Design"/>
    <s v="Dubai"/>
    <n v="5132"/>
    <n v="0.4"/>
    <n v="2052.8000000000002"/>
    <s v="Repeat Sale"/>
    <s v="Organic"/>
    <s v="Bi Annual"/>
  </r>
  <r>
    <d v="2024-03-08T00:00:00"/>
    <s v="Mar"/>
    <s v="2024"/>
    <s v="Mona Al Humaidi"/>
    <s v="Individual"/>
    <s v="App Dev"/>
    <s v="Design"/>
    <s v="Sharjah"/>
    <n v="6788"/>
    <n v="0.4"/>
    <n v="2715.2000000000003"/>
    <s v="Repeat Sale"/>
    <s v="Walk in"/>
    <s v="Bi Annual"/>
  </r>
  <r>
    <d v="2024-03-09T00:00:00"/>
    <s v="Mar"/>
    <s v="2024"/>
    <s v="Solvium Solutions"/>
    <s v="Company"/>
    <s v="Web Dev"/>
    <s v="Design"/>
    <s v="Dubai"/>
    <n v="6345"/>
    <n v="0.35"/>
    <n v="2220.75"/>
    <s v="Repeat Sale"/>
    <s v="Walk in"/>
    <s v="Quarterly"/>
  </r>
  <r>
    <d v="2024-03-11T00:00:00"/>
    <s v="Mar"/>
    <s v="2024"/>
    <s v="Altura Networks"/>
    <s v="Company"/>
    <s v="SEO"/>
    <s v="Copywriting"/>
    <s v="Abu Dhabi"/>
    <n v="2868"/>
    <n v="0.25"/>
    <n v="717"/>
    <s v="Repeat Sale"/>
    <s v="Walk in"/>
    <s v="Annual"/>
  </r>
  <r>
    <d v="2024-03-12T00:00:00"/>
    <s v="Mar"/>
    <s v="2024"/>
    <s v="Vantoro Enterprises"/>
    <s v="Company"/>
    <s v="Ads"/>
    <s v="Marketing"/>
    <s v="Al Ain"/>
    <n v="5442"/>
    <n v="0.25"/>
    <n v="1360.5"/>
    <s v="New Sale"/>
    <s v="Walk in"/>
    <s v="Monthly"/>
  </r>
  <r>
    <d v="2024-03-13T00:00:00"/>
    <s v="Mar"/>
    <s v="2024"/>
    <s v="InfiNova Technologies"/>
    <s v="Company"/>
    <s v="Social Media"/>
    <s v="Marketing"/>
    <s v="Abu Dhabi"/>
    <n v="5325"/>
    <n v="0.3"/>
    <n v="1597.5"/>
    <s v="Repeat Sale"/>
    <s v="Ads"/>
    <s v="Annual"/>
  </r>
  <r>
    <d v="2024-03-13T00:00:00"/>
    <s v="Mar"/>
    <s v="2024"/>
    <s v="Laila Al Mulla"/>
    <s v="Individual"/>
    <s v="SEO"/>
    <s v="Copywriting"/>
    <s v="Sharjah"/>
    <n v="3907"/>
    <n v="0.25"/>
    <n v="976.75"/>
    <s v="New Sale"/>
    <s v="Organic"/>
    <s v="Bi Annual"/>
  </r>
  <r>
    <d v="2024-03-15T00:00:00"/>
    <s v="Mar"/>
    <s v="2024"/>
    <s v="Hanan Al Khatri"/>
    <s v="Individual"/>
    <s v="Social Media"/>
    <s v="Marketing"/>
    <s v="Abu Dhabi"/>
    <n v="4765"/>
    <n v="0.3"/>
    <n v="1429.5"/>
    <s v="New Sale"/>
    <s v="Organic"/>
    <s v="Annual"/>
  </r>
  <r>
    <d v="2024-03-19T00:00:00"/>
    <s v="Mar"/>
    <s v="2024"/>
    <s v="Zephyr Industries"/>
    <s v="Company"/>
    <s v="App Dev"/>
    <s v="Design"/>
    <s v="Ajman"/>
    <n v="6030"/>
    <n v="0.4"/>
    <n v="2412"/>
    <s v="Repeat Sale"/>
    <s v="Organic"/>
    <s v="Annual"/>
  </r>
  <r>
    <d v="2024-03-19T00:00:00"/>
    <s v="Mar"/>
    <s v="2024"/>
    <s v="Laila Al Mulla"/>
    <s v="Individual"/>
    <s v="App Dev"/>
    <s v="Design"/>
    <s v="Abu Dhabi"/>
    <n v="5796"/>
    <n v="0.4"/>
    <n v="2318.4"/>
    <s v="New Sale"/>
    <s v="Walk in"/>
    <s v="Bi Annual"/>
  </r>
  <r>
    <d v="2024-03-19T00:00:00"/>
    <s v="Mar"/>
    <s v="2024"/>
    <s v="Layla Al Dhanhani"/>
    <s v="Individual"/>
    <s v="App Dev"/>
    <s v="Design"/>
    <s v="Dubai"/>
    <n v="3903"/>
    <n v="0.4"/>
    <n v="1561.2"/>
    <s v="New Sale"/>
    <s v="Ads"/>
    <s v="Bi Annual"/>
  </r>
  <r>
    <d v="2024-03-20T00:00:00"/>
    <s v="Mar"/>
    <s v="2024"/>
    <s v="Synergenix Labs"/>
    <s v="Company"/>
    <s v="SEO"/>
    <s v="Copywriting"/>
    <s v="Abu Dhabi"/>
    <n v="6933"/>
    <n v="0.25"/>
    <n v="1733.25"/>
    <s v="Repeat Sale"/>
    <s v="Ads"/>
    <s v="Quarterly"/>
  </r>
  <r>
    <d v="2024-03-26T00:00:00"/>
    <s v="Mar"/>
    <s v="2024"/>
    <s v="Zephyr Industries"/>
    <s v="Company"/>
    <s v="SEO"/>
    <s v="Copywriting"/>
    <s v="Dubai"/>
    <n v="3446"/>
    <n v="0.25"/>
    <n v="861.5"/>
    <s v="Repeat Sale"/>
    <s v="Ads"/>
    <s v="Bi Annual"/>
  </r>
  <r>
    <d v="2024-03-26T00:00:00"/>
    <s v="Mar"/>
    <s v="2024"/>
    <s v="Mariam Al Shamsi"/>
    <s v="Individual"/>
    <s v="Web Dev"/>
    <s v="Design"/>
    <s v="Dubai"/>
    <n v="3227"/>
    <n v="0.35"/>
    <n v="1129.4499999999998"/>
    <s v="Repeat Sale"/>
    <s v="Organic"/>
    <s v="Bi Annual"/>
  </r>
  <r>
    <d v="2024-03-28T00:00:00"/>
    <s v="Mar"/>
    <s v="2024"/>
    <s v="Noura Rashid"/>
    <s v="Individual"/>
    <s v="Web Dev"/>
    <s v="Design"/>
    <s v="Abu Dhabi"/>
    <n v="5167"/>
    <n v="0.35"/>
    <n v="1808.4499999999998"/>
    <s v="New Sale"/>
    <s v="Walk in"/>
    <s v="Quarterly"/>
  </r>
  <r>
    <d v="2024-03-30T00:00:00"/>
    <s v="Mar"/>
    <s v="2024"/>
    <s v="Saeed Al Saeed"/>
    <s v="Individual"/>
    <s v="App Dev"/>
    <s v="Design"/>
    <s v="Ajman"/>
    <n v="7081"/>
    <n v="0.4"/>
    <n v="2832.4"/>
    <s v="New Sale"/>
    <s v="Walk in"/>
    <s v="Monthly"/>
  </r>
  <r>
    <d v="2024-03-31T00:00:00"/>
    <s v="Mar"/>
    <s v="2024"/>
    <s v="Vantoro Enterprises"/>
    <s v="Company"/>
    <s v="Web Dev"/>
    <s v="Design"/>
    <s v="Abu Dhabi"/>
    <n v="6006"/>
    <n v="0.35"/>
    <n v="2102.1"/>
    <s v="New Sale"/>
    <s v="Walk in"/>
    <s v="Quarterly"/>
  </r>
  <r>
    <d v="2024-04-02T00:00:00"/>
    <s v="Apr"/>
    <s v="2024"/>
    <s v="Rania Omar"/>
    <s v="Individual"/>
    <s v="App Dev"/>
    <s v="Design"/>
    <s v="Abu Dhabi"/>
    <n v="7023"/>
    <n v="0.4"/>
    <n v="2809.2000000000003"/>
    <s v="New Sale"/>
    <s v="Walk in"/>
    <s v="Monthly"/>
  </r>
  <r>
    <d v="2024-04-03T00:00:00"/>
    <s v="Apr"/>
    <s v="2024"/>
    <s v="Aetherion Systems"/>
    <s v="Company"/>
    <s v="Social Media"/>
    <s v="Marketing"/>
    <s v="Abu Dhabi"/>
    <n v="2871"/>
    <n v="0.3"/>
    <n v="861.3"/>
    <s v="Repeat Sale"/>
    <s v="Walk in"/>
    <s v="Quarterly"/>
  </r>
  <r>
    <d v="2024-04-03T00:00:00"/>
    <s v="Apr"/>
    <s v="2024"/>
    <s v="Omar Ali"/>
    <s v="Individual"/>
    <s v="App Dev"/>
    <s v="Design"/>
    <s v="Al Ain"/>
    <n v="6127"/>
    <n v="0.4"/>
    <n v="2450.8000000000002"/>
    <s v="Repeat Sale"/>
    <s v="Walk in"/>
    <s v="Monthly"/>
  </r>
  <r>
    <d v="2024-04-04T00:00:00"/>
    <s v="Apr"/>
    <s v="2024"/>
    <s v="Laila Al Mulla"/>
    <s v="Individual"/>
    <s v="Web Dev"/>
    <s v="Design"/>
    <s v="Dubai"/>
    <n v="3894"/>
    <n v="0.35"/>
    <n v="1362.8999999999999"/>
    <s v="New Sale"/>
    <s v="Organic"/>
    <s v="Bi Annual"/>
  </r>
  <r>
    <d v="2024-04-07T00:00:00"/>
    <s v="Apr"/>
    <s v="2024"/>
    <s v="Octavium Digital"/>
    <s v="Company"/>
    <s v="SEO"/>
    <s v="Copywriting"/>
    <s v="Dubai"/>
    <n v="6449"/>
    <n v="0.25"/>
    <n v="1612.25"/>
    <s v="Repeat Sale"/>
    <s v="Walk in"/>
    <s v="Monthly"/>
  </r>
  <r>
    <d v="2024-04-08T00:00:00"/>
    <s v="Apr"/>
    <s v="2024"/>
    <s v="Solvium Solutions"/>
    <s v="Company"/>
    <s v="App Dev"/>
    <s v="Design"/>
    <s v="Sharjah"/>
    <n v="4976"/>
    <n v="0.4"/>
    <n v="1990.4"/>
    <s v="New Sale"/>
    <s v="Ads"/>
    <s v="Bi Annual"/>
  </r>
  <r>
    <d v="2024-04-08T00:00:00"/>
    <s v="Apr"/>
    <s v="2024"/>
    <s v="Synergenix Labs"/>
    <s v="Company"/>
    <s v="Ads"/>
    <s v="Marketing"/>
    <s v="Al Ain"/>
    <n v="5171"/>
    <n v="0.25"/>
    <n v="1292.75"/>
    <s v="Repeat Sale"/>
    <s v="Walk in"/>
    <s v="Quarterly"/>
  </r>
  <r>
    <d v="2024-04-09T00:00:00"/>
    <s v="Apr"/>
    <s v="2024"/>
    <s v="Saeed Al Saeed"/>
    <s v="Individual"/>
    <s v="SEO"/>
    <s v="Copywriting"/>
    <s v="Abu Dhabi"/>
    <n v="6231"/>
    <n v="0.25"/>
    <n v="1557.75"/>
    <s v="Repeat Sale"/>
    <s v="Ads"/>
    <s v="Monthly"/>
  </r>
  <r>
    <d v="2024-04-10T00:00:00"/>
    <s v="Apr"/>
    <s v="2024"/>
    <s v="Rania Omar"/>
    <s v="Individual"/>
    <s v="Web Dev"/>
    <s v="Design"/>
    <s v="Ajman"/>
    <n v="4838"/>
    <n v="0.35"/>
    <n v="1693.3"/>
    <s v="Repeat Sale"/>
    <s v="Walk in"/>
    <s v="Quarterly"/>
  </r>
  <r>
    <d v="2024-04-14T00:00:00"/>
    <s v="Apr"/>
    <s v="2024"/>
    <s v="Stratoscope"/>
    <s v="Company"/>
    <s v="App Dev"/>
    <s v="Design"/>
    <s v="Ajman"/>
    <n v="4855"/>
    <n v="0.4"/>
    <n v="1942"/>
    <s v="Repeat Sale"/>
    <s v="Walk in"/>
    <s v="Annual"/>
  </r>
  <r>
    <d v="2024-04-16T00:00:00"/>
    <s v="Apr"/>
    <s v="2024"/>
    <s v="Luminex Global"/>
    <s v="Company"/>
    <s v="SEO"/>
    <s v="Copywriting"/>
    <s v="Abu Dhabi"/>
    <n v="4488"/>
    <n v="0.25"/>
    <n v="1122"/>
    <s v="Repeat Sale"/>
    <s v="Organic"/>
    <s v="Monthly"/>
  </r>
  <r>
    <d v="2024-04-17T00:00:00"/>
    <s v="Apr"/>
    <s v="2024"/>
    <s v="Zephyr Industries"/>
    <s v="Company"/>
    <s v="Web Dev"/>
    <s v="Design"/>
    <s v="Abu Dhabi"/>
    <n v="3207"/>
    <n v="0.35"/>
    <n v="1122.4499999999998"/>
    <s v="New Sale"/>
    <s v="Organic"/>
    <s v="Annual"/>
  </r>
  <r>
    <d v="2024-04-19T00:00:00"/>
    <s v="Apr"/>
    <s v="2024"/>
    <s v="InfiNova Technologies"/>
    <s v="Company"/>
    <s v="Ads"/>
    <s v="Marketing"/>
    <s v="Al Ain"/>
    <n v="5536"/>
    <n v="0.25"/>
    <n v="1384"/>
    <s v="New Sale"/>
    <s v="Walk in"/>
    <s v="Bi Annual"/>
  </r>
  <r>
    <d v="2024-04-20T00:00:00"/>
    <s v="Apr"/>
    <s v="2024"/>
    <s v="Omar Ali"/>
    <s v="Individual"/>
    <s v="App Dev"/>
    <s v="Design"/>
    <s v="Dubai"/>
    <n v="3567"/>
    <n v="0.4"/>
    <n v="1426.8000000000002"/>
    <s v="Repeat Sale"/>
    <s v="Organic"/>
    <s v="Monthly"/>
  </r>
  <r>
    <d v="2024-04-21T00:00:00"/>
    <s v="Apr"/>
    <s v="2024"/>
    <s v="Khaled Al Farsi"/>
    <s v="Individual"/>
    <s v="Social Media"/>
    <s v="Marketing"/>
    <s v="Dubai"/>
    <n v="6891"/>
    <n v="0.3"/>
    <n v="2067.2999999999997"/>
    <s v="Repeat Sale"/>
    <s v="Organic"/>
    <s v="Annual"/>
  </r>
  <r>
    <d v="2024-04-25T00:00:00"/>
    <s v="Apr"/>
    <s v="2024"/>
    <s v="Tariq Al Zahrani"/>
    <s v="Individual"/>
    <s v="Web Dev"/>
    <s v="Design"/>
    <s v="Dubai"/>
    <n v="7424"/>
    <n v="0.35"/>
    <n v="2598.3999999999996"/>
    <s v="Repeat Sale"/>
    <s v="Walk in"/>
    <s v="Monthly"/>
  </r>
  <r>
    <d v="2024-04-27T00:00:00"/>
    <s v="Apr"/>
    <s v="2024"/>
    <s v="Sami Al Shamsi"/>
    <s v="Individual"/>
    <s v="App Dev"/>
    <s v="Design"/>
    <s v="Al Ain"/>
    <n v="7390"/>
    <n v="0.4"/>
    <n v="2956"/>
    <s v="New Sale"/>
    <s v="Organic"/>
    <s v="Monthly"/>
  </r>
  <r>
    <d v="2024-04-28T00:00:00"/>
    <s v="Apr"/>
    <s v="2024"/>
    <s v="InfiNova Technologies"/>
    <s v="Company"/>
    <s v="App Dev"/>
    <s v="Design"/>
    <s v="Ajman"/>
    <n v="6058"/>
    <n v="0.4"/>
    <n v="2423.2000000000003"/>
    <s v="Repeat Sale"/>
    <s v="Walk in"/>
    <s v="Monthly"/>
  </r>
  <r>
    <d v="2024-04-30T00:00:00"/>
    <s v="Apr"/>
    <s v="2024"/>
    <s v="Stratoscope"/>
    <s v="Company"/>
    <s v="Web Dev"/>
    <s v="Design"/>
    <s v="Abu Dhabi"/>
    <n v="4466"/>
    <n v="0.35"/>
    <n v="1563.1"/>
    <s v="Repeat Sale"/>
    <s v="Organic"/>
    <s v="Bi Annual"/>
  </r>
  <r>
    <d v="2024-04-30T00:00:00"/>
    <s v="Apr"/>
    <s v="2024"/>
    <s v="Jamal Al Maktoum"/>
    <s v="Individual"/>
    <s v="SEO"/>
    <s v="Copywriting"/>
    <s v="Abu Dhabi"/>
    <n v="2457"/>
    <n v="0.25"/>
    <n v="614.25"/>
    <s v="New Sale"/>
    <s v="Organic"/>
    <s v="Annual"/>
  </r>
  <r>
    <d v="2024-05-01T00:00:00"/>
    <s v="May"/>
    <s v="2024"/>
    <s v="Vantoro Enterprises"/>
    <s v="Company"/>
    <s v="SEO"/>
    <s v="Copywriting"/>
    <s v="Abu Dhabi"/>
    <n v="2645"/>
    <n v="0.25"/>
    <n v="661.25"/>
    <s v="Repeat Sale"/>
    <s v="Organic"/>
    <s v="Quarterly"/>
  </r>
  <r>
    <d v="2024-05-01T00:00:00"/>
    <s v="May"/>
    <s v="2024"/>
    <s v="Fatima Saeed"/>
    <s v="Individual"/>
    <s v="Web Dev"/>
    <s v="Design"/>
    <s v="Al Ain"/>
    <n v="7168"/>
    <n v="0.35"/>
    <n v="2508.7999999999997"/>
    <s v="Repeat Sale"/>
    <s v="Organic"/>
    <s v="Monthly"/>
  </r>
  <r>
    <d v="2024-05-02T00:00:00"/>
    <s v="May"/>
    <s v="2024"/>
    <s v="Omar Ali"/>
    <s v="Individual"/>
    <s v="Ads"/>
    <s v="Marketing"/>
    <s v="Sharjah"/>
    <n v="3643"/>
    <n v="0.25"/>
    <n v="910.75"/>
    <s v="Repeat Sale"/>
    <s v="Walk in"/>
    <s v="Annual"/>
  </r>
  <r>
    <d v="2024-05-03T00:00:00"/>
    <s v="May"/>
    <s v="2024"/>
    <s v="Vantoro Enterprises"/>
    <s v="Company"/>
    <s v="SEO"/>
    <s v="Copywriting"/>
    <s v="Dubai"/>
    <n v="7166"/>
    <n v="0.25"/>
    <n v="1791.5"/>
    <s v="Repeat Sale"/>
    <s v="Organic"/>
    <s v="Annual"/>
  </r>
  <r>
    <d v="2024-05-03T00:00:00"/>
    <s v="May"/>
    <s v="2024"/>
    <s v="Mona Al Humaidi"/>
    <s v="Individual"/>
    <s v="Web Dev"/>
    <s v="Design"/>
    <s v="Al Ain"/>
    <n v="5324"/>
    <n v="0.35"/>
    <n v="1863.3999999999999"/>
    <s v="New Sale"/>
    <s v="Organic"/>
    <s v="Bi Annual"/>
  </r>
  <r>
    <d v="2024-05-04T00:00:00"/>
    <s v="May"/>
    <s v="2024"/>
    <s v="Octavium Digital"/>
    <s v="Company"/>
    <s v="Ads"/>
    <s v="Marketing"/>
    <s v="Abu Dhabi"/>
    <n v="5233"/>
    <n v="0.25"/>
    <n v="1308.25"/>
    <s v="Repeat Sale"/>
    <s v="Walk in"/>
    <s v="Quarterly"/>
  </r>
  <r>
    <d v="2024-05-07T00:00:00"/>
    <s v="May"/>
    <s v="2024"/>
    <s v="Hanan Al Khatri"/>
    <s v="Individual"/>
    <s v="SEO"/>
    <s v="Copywriting"/>
    <s v="Ajman"/>
    <n v="5064"/>
    <n v="0.25"/>
    <n v="1266"/>
    <s v="New Sale"/>
    <s v="Walk in"/>
    <s v="Monthly"/>
  </r>
  <r>
    <d v="2024-05-09T00:00:00"/>
    <s v="May"/>
    <s v="2024"/>
    <s v="Synergenix Labs"/>
    <s v="Company"/>
    <s v="Web Dev"/>
    <s v="Design"/>
    <s v="Abu Dhabi"/>
    <n v="7419"/>
    <n v="0.35"/>
    <n v="2596.6499999999996"/>
    <s v="Repeat Sale"/>
    <s v="Ads"/>
    <s v="Annual"/>
  </r>
  <r>
    <d v="2024-05-14T00:00:00"/>
    <s v="May"/>
    <s v="2024"/>
    <s v="Aetherion Systems"/>
    <s v="Company"/>
    <s v="App Dev"/>
    <s v="Design"/>
    <s v="Dubai"/>
    <n v="5511"/>
    <n v="0.4"/>
    <n v="2204.4"/>
    <s v="Repeat Sale"/>
    <s v="Organic"/>
    <s v="Annual"/>
  </r>
  <r>
    <d v="2024-05-14T00:00:00"/>
    <s v="May"/>
    <s v="2024"/>
    <s v="Khaled Al Farsi"/>
    <s v="Individual"/>
    <s v="Social Media"/>
    <s v="Marketing"/>
    <s v="Dubai"/>
    <n v="3786"/>
    <n v="0.3"/>
    <n v="1135.8"/>
    <s v="Repeat Sale"/>
    <s v="Organic"/>
    <s v="Annual"/>
  </r>
  <r>
    <d v="2024-05-14T00:00:00"/>
    <s v="May"/>
    <s v="2024"/>
    <s v="Fatima Saeed"/>
    <s v="Individual"/>
    <s v="App Dev"/>
    <s v="Design"/>
    <s v="Abu Dhabi"/>
    <n v="3218"/>
    <n v="0.4"/>
    <n v="1287.2"/>
    <s v="Repeat Sale"/>
    <s v="Walk in"/>
    <s v="Monthly"/>
  </r>
  <r>
    <d v="2024-05-14T00:00:00"/>
    <s v="May"/>
    <s v="2024"/>
    <s v="Sarah Ahmed"/>
    <s v="Individual"/>
    <s v="Social Media"/>
    <s v="Marketing"/>
    <s v="Ajman"/>
    <n v="3555"/>
    <n v="0.3"/>
    <n v="1066.5"/>
    <s v="New Sale"/>
    <s v="Organic"/>
    <s v="Annual"/>
  </r>
  <r>
    <d v="2024-05-15T00:00:00"/>
    <s v="May"/>
    <s v="2024"/>
    <s v="Solvium Solutions"/>
    <s v="Company"/>
    <s v="App Dev"/>
    <s v="Design"/>
    <s v="Dubai"/>
    <n v="4229"/>
    <n v="0.4"/>
    <n v="1691.6000000000001"/>
    <s v="Repeat Sale"/>
    <s v="Walk in"/>
    <s v="Annual"/>
  </r>
  <r>
    <d v="2024-05-18T00:00:00"/>
    <s v="May"/>
    <s v="2024"/>
    <s v="Vantoro Enterprises"/>
    <s v="Company"/>
    <s v="Ads"/>
    <s v="Marketing"/>
    <s v="Al Ain"/>
    <n v="6036"/>
    <n v="0.25"/>
    <n v="1509"/>
    <s v="New Sale"/>
    <s v="Ads"/>
    <s v="Annual"/>
  </r>
  <r>
    <d v="2024-05-20T00:00:00"/>
    <s v="May"/>
    <s v="2024"/>
    <s v="Aetherion Systems"/>
    <s v="Company"/>
    <s v="Ads"/>
    <s v="Marketing"/>
    <s v="Dubai"/>
    <n v="3015"/>
    <n v="0.25"/>
    <n v="753.75"/>
    <s v="Repeat Sale"/>
    <s v="Organic"/>
    <s v="Monthly"/>
  </r>
  <r>
    <d v="2024-05-20T00:00:00"/>
    <s v="May"/>
    <s v="2024"/>
    <s v="Mona Al Humaidi"/>
    <s v="Individual"/>
    <s v="Social Media"/>
    <s v="Marketing"/>
    <s v="Ajman"/>
    <n v="2982"/>
    <n v="0.3"/>
    <n v="894.6"/>
    <s v="Repeat Sale"/>
    <s v="Ads"/>
    <s v="Quarterly"/>
  </r>
  <r>
    <d v="2024-05-22T00:00:00"/>
    <s v="May"/>
    <s v="2024"/>
    <s v="Nexa Core"/>
    <s v="Company"/>
    <s v="SEO"/>
    <s v="Copywriting"/>
    <s v="Ajman"/>
    <n v="4222"/>
    <n v="0.25"/>
    <n v="1055.5"/>
    <s v="Repeat Sale"/>
    <s v="Ads"/>
    <s v="Quarterly"/>
  </r>
  <r>
    <d v="2024-05-23T00:00:00"/>
    <s v="May"/>
    <s v="2024"/>
    <s v="Zayed Al Nuaimi"/>
    <s v="Individual"/>
    <s v="Social Media"/>
    <s v="Marketing"/>
    <s v="Ajman"/>
    <n v="3040"/>
    <n v="0.3"/>
    <n v="912"/>
    <s v="Repeat Sale"/>
    <s v="Ads"/>
    <s v="Monthly"/>
  </r>
  <r>
    <d v="2024-05-26T00:00:00"/>
    <s v="May"/>
    <s v="2024"/>
    <s v="Zephyr Industries"/>
    <s v="Company"/>
    <s v="SEO"/>
    <s v="Copywriting"/>
    <s v="Dubai"/>
    <n v="6408"/>
    <n v="0.25"/>
    <n v="1602"/>
    <s v="Repeat Sale"/>
    <s v="Organic"/>
    <s v="Annual"/>
  </r>
  <r>
    <d v="2024-05-27T00:00:00"/>
    <s v="May"/>
    <s v="2024"/>
    <s v="Mariam Al Shamsi"/>
    <s v="Individual"/>
    <s v="Ads"/>
    <s v="Marketing"/>
    <s v="Dubai"/>
    <n v="6982"/>
    <n v="0.25"/>
    <n v="1745.5"/>
    <s v="Repeat Sale"/>
    <s v="Organic"/>
    <s v="Annual"/>
  </r>
  <r>
    <d v="2024-06-06T00:00:00"/>
    <s v="Jun"/>
    <s v="2024"/>
    <s v="Basma Nasser"/>
    <s v="Individual"/>
    <s v="SEO"/>
    <s v="Copywriting"/>
    <s v="Ajman"/>
    <n v="5225"/>
    <n v="0.25"/>
    <n v="1306.25"/>
    <s v="Repeat Sale"/>
    <s v="Walk in"/>
    <s v="Annual"/>
  </r>
  <r>
    <d v="2024-06-06T00:00:00"/>
    <s v="Jun"/>
    <s v="2024"/>
    <s v="Ali Juma"/>
    <s v="Individual"/>
    <s v="App Dev"/>
    <s v="Design"/>
    <s v="Sharjah"/>
    <n v="6679"/>
    <n v="0.4"/>
    <n v="2671.6000000000004"/>
    <s v="New Sale"/>
    <s v="Walk in"/>
    <s v="Quarterly"/>
  </r>
  <r>
    <d v="2024-06-08T00:00:00"/>
    <s v="Jun"/>
    <s v="2024"/>
    <s v="Aetherion Systems"/>
    <s v="Company"/>
    <s v="Social Media"/>
    <s v="Marketing"/>
    <s v="Dubai"/>
    <n v="6683"/>
    <n v="0.3"/>
    <n v="2004.8999999999999"/>
    <s v="New Sale"/>
    <s v="Ads"/>
    <s v="Annual"/>
  </r>
  <r>
    <d v="2024-06-09T00:00:00"/>
    <s v="Jun"/>
    <s v="2024"/>
    <s v="Mariam Al Shamsi"/>
    <s v="Individual"/>
    <s v="SEO"/>
    <s v="Copywriting"/>
    <s v="Dubai"/>
    <n v="7372"/>
    <n v="0.25"/>
    <n v="1843"/>
    <s v="Repeat Sale"/>
    <s v="Ads"/>
    <s v="Monthly"/>
  </r>
  <r>
    <d v="2024-06-12T00:00:00"/>
    <s v="Jun"/>
    <s v="2024"/>
    <s v="InfiNova Technologies"/>
    <s v="Company"/>
    <s v="Social Media"/>
    <s v="Marketing"/>
    <s v="Dubai"/>
    <n v="6231"/>
    <n v="0.3"/>
    <n v="1869.3"/>
    <s v="Repeat Sale"/>
    <s v="Ads"/>
    <s v="Monthly"/>
  </r>
  <r>
    <d v="2024-06-13T00:00:00"/>
    <s v="Jun"/>
    <s v="2024"/>
    <s v="Zayed Al Nuaimi"/>
    <s v="Individual"/>
    <s v="Web Dev"/>
    <s v="Design"/>
    <s v="Dubai"/>
    <n v="2977"/>
    <n v="0.35"/>
    <n v="1041.95"/>
    <s v="Repeat Sale"/>
    <s v="Walk in"/>
    <s v="Bi Annual"/>
  </r>
  <r>
    <d v="2024-06-17T00:00:00"/>
    <s v="Jun"/>
    <s v="2024"/>
    <s v="Luminex Global"/>
    <s v="Company"/>
    <s v="Ads"/>
    <s v="Marketing"/>
    <s v="Sharjah"/>
    <n v="4253"/>
    <n v="0.25"/>
    <n v="1063.25"/>
    <s v="New Sale"/>
    <s v="Organic"/>
    <s v="Annual"/>
  </r>
  <r>
    <d v="2024-06-18T00:00:00"/>
    <s v="Jun"/>
    <s v="2024"/>
    <s v="InfiNova Technologies"/>
    <s v="Company"/>
    <s v="SEO"/>
    <s v="Copywriting"/>
    <s v="Abu Dhabi"/>
    <n v="4957"/>
    <n v="0.25"/>
    <n v="1239.25"/>
    <s v="Repeat Sale"/>
    <s v="Ads"/>
    <s v="Annual"/>
  </r>
  <r>
    <d v="2024-06-19T00:00:00"/>
    <s v="Jun"/>
    <s v="2024"/>
    <s v="Octavium Digital"/>
    <s v="Company"/>
    <s v="Ads"/>
    <s v="Marketing"/>
    <s v="Dubai"/>
    <n v="6527"/>
    <n v="0.25"/>
    <n v="1631.75"/>
    <s v="Repeat Sale"/>
    <s v="Organic"/>
    <s v="Quarterly"/>
  </r>
  <r>
    <d v="2024-06-20T00:00:00"/>
    <s v="Jun"/>
    <s v="2024"/>
    <s v="Mariam Al Shamsi"/>
    <s v="Individual"/>
    <s v="App Dev"/>
    <s v="Design"/>
    <s v="Dubai"/>
    <n v="7304"/>
    <n v="0.4"/>
    <n v="2921.6000000000004"/>
    <s v="Repeat Sale"/>
    <s v="Organic"/>
    <s v="Monthly"/>
  </r>
  <r>
    <d v="2024-06-22T00:00:00"/>
    <s v="Jun"/>
    <s v="2024"/>
    <s v="Octavium Digital"/>
    <s v="Company"/>
    <s v="Ads"/>
    <s v="Marketing"/>
    <s v="Abu Dhabi"/>
    <n v="3467"/>
    <n v="0.25"/>
    <n v="866.75"/>
    <s v="Repeat Sale"/>
    <s v="Organic"/>
    <s v="Bi Annual"/>
  </r>
  <r>
    <d v="2024-06-22T00:00:00"/>
    <s v="Jun"/>
    <s v="2024"/>
    <s v="Aetherion Systems"/>
    <s v="Company"/>
    <s v="App Dev"/>
    <s v="Design"/>
    <s v="Dubai"/>
    <n v="7337"/>
    <n v="0.4"/>
    <n v="2934.8"/>
    <s v="New Sale"/>
    <s v="Walk in"/>
    <s v="Monthly"/>
  </r>
  <r>
    <d v="2024-06-23T00:00:00"/>
    <s v="Jun"/>
    <s v="2024"/>
    <s v="Luminex Global"/>
    <s v="Company"/>
    <s v="Ads"/>
    <s v="Marketing"/>
    <s v="Dubai"/>
    <n v="3007"/>
    <n v="0.25"/>
    <n v="751.75"/>
    <s v="Repeat Sale"/>
    <s v="Walk in"/>
    <s v="Bi Annual"/>
  </r>
  <r>
    <d v="2024-06-24T00:00:00"/>
    <s v="Jun"/>
    <s v="2024"/>
    <s v="Quanta Sphere Tech"/>
    <s v="Company"/>
    <s v="Web Dev"/>
    <s v="Design"/>
    <s v="Al Ain"/>
    <n v="6967"/>
    <n v="0.35"/>
    <n v="2438.4499999999998"/>
    <s v="New Sale"/>
    <s v="Organic"/>
    <s v="Quarterly"/>
  </r>
  <r>
    <d v="2024-06-25T00:00:00"/>
    <s v="Jun"/>
    <s v="2024"/>
    <s v="Basma Nasser"/>
    <s v="Individual"/>
    <s v="App Dev"/>
    <s v="Design"/>
    <s v="Abu Dhabi"/>
    <n v="3579"/>
    <n v="0.4"/>
    <n v="1431.6000000000001"/>
    <s v="Repeat Sale"/>
    <s v="Walk in"/>
    <s v="Monthly"/>
  </r>
  <r>
    <d v="2024-06-25T00:00:00"/>
    <s v="Jun"/>
    <s v="2024"/>
    <s v="Hanan Al Khatri"/>
    <s v="Individual"/>
    <s v="Social Media"/>
    <s v="Marketing"/>
    <s v="Ajman"/>
    <n v="5956"/>
    <n v="0.3"/>
    <n v="1786.8"/>
    <s v="Repeat Sale"/>
    <s v="Ads"/>
    <s v="Bi Annual"/>
  </r>
  <r>
    <d v="2024-06-26T00:00:00"/>
    <s v="Jun"/>
    <s v="2024"/>
    <s v="Laila Al Mulla"/>
    <s v="Individual"/>
    <s v="SEO"/>
    <s v="Copywriting"/>
    <s v="Al Ain"/>
    <n v="4703"/>
    <n v="0.25"/>
    <n v="1175.75"/>
    <s v="Repeat Sale"/>
    <s v="Walk in"/>
    <s v="Bi Annual"/>
  </r>
  <r>
    <d v="2024-06-26T00:00:00"/>
    <s v="Jun"/>
    <s v="2024"/>
    <s v="Tariq Al Zahrani"/>
    <s v="Individual"/>
    <s v="SEO"/>
    <s v="Copywriting"/>
    <s v="Ajman"/>
    <n v="6947"/>
    <n v="0.25"/>
    <n v="1736.75"/>
    <s v="New Sale"/>
    <s v="Organic"/>
    <s v="Annual"/>
  </r>
  <r>
    <d v="2024-06-28T00:00:00"/>
    <s v="Jun"/>
    <s v="2024"/>
    <s v="Luminex Global"/>
    <s v="Company"/>
    <s v="Ads"/>
    <s v="Marketing"/>
    <s v="Abu Dhabi"/>
    <n v="3550"/>
    <n v="0.25"/>
    <n v="887.5"/>
    <s v="New Sale"/>
    <s v="Walk in"/>
    <s v="Annual"/>
  </r>
  <r>
    <d v="2024-06-29T00:00:00"/>
    <s v="Jun"/>
    <s v="2024"/>
    <s v="Mona Al Humaidi"/>
    <s v="Individual"/>
    <s v="SEO"/>
    <s v="Copywriting"/>
    <s v="Dubai"/>
    <n v="5877"/>
    <n v="0.25"/>
    <n v="1469.25"/>
    <s v="Repeat Sale"/>
    <s v="Ads"/>
    <s v="Quarterly"/>
  </r>
  <r>
    <d v="2024-07-02T00:00:00"/>
    <s v="Jul"/>
    <s v="2024"/>
    <s v="Zephyr Industries"/>
    <s v="Company"/>
    <s v="Ads"/>
    <s v="Marketing"/>
    <s v="Sharjah"/>
    <n v="12139"/>
    <n v="0.25"/>
    <n v="3034.75"/>
    <s v="Repeat Sale"/>
    <s v="Organic"/>
    <s v="Bi Annual"/>
  </r>
  <r>
    <d v="2024-07-03T00:00:00"/>
    <s v="Jul"/>
    <s v="2024"/>
    <s v="Synergenix Labs"/>
    <s v="Company"/>
    <s v="App Dev"/>
    <s v="Design"/>
    <s v="Ajman"/>
    <n v="11449"/>
    <n v="0.4"/>
    <n v="4579.6000000000004"/>
    <s v="New Sale"/>
    <s v="Organic"/>
    <s v="Bi Annual"/>
  </r>
  <r>
    <d v="2024-07-03T00:00:00"/>
    <s v="Jul"/>
    <s v="2024"/>
    <s v="Solvium Solutions"/>
    <s v="Company"/>
    <s v="SEO"/>
    <s v="Copywriting"/>
    <s v="Abu Dhabi"/>
    <n v="8143"/>
    <n v="0.25"/>
    <n v="2035.75"/>
    <s v="Repeat Sale"/>
    <s v="Walk in"/>
    <s v="Annual"/>
  </r>
  <r>
    <d v="2024-07-11T00:00:00"/>
    <s v="Jul"/>
    <s v="2024"/>
    <s v="Altura Networks"/>
    <s v="Company"/>
    <s v="Social Media"/>
    <s v="Marketing"/>
    <s v="Abu Dhabi"/>
    <n v="11800"/>
    <n v="0.3"/>
    <n v="3540"/>
    <s v="Repeat Sale"/>
    <s v="Walk in"/>
    <s v="Quarterly"/>
  </r>
  <r>
    <d v="2024-07-13T00:00:00"/>
    <s v="Jul"/>
    <s v="2024"/>
    <s v="Hanan Al Khatri"/>
    <s v="Individual"/>
    <s v="Social Media"/>
    <s v="Marketing"/>
    <s v="Dubai"/>
    <n v="9912"/>
    <n v="0.3"/>
    <n v="2973.6"/>
    <s v="New Sale"/>
    <s v="Walk in"/>
    <s v="Monthly"/>
  </r>
  <r>
    <d v="2024-07-14T00:00:00"/>
    <s v="Jul"/>
    <s v="2024"/>
    <s v="Solvium Solutions"/>
    <s v="Company"/>
    <s v="SEO"/>
    <s v="Copywriting"/>
    <s v="Ajman"/>
    <n v="8622"/>
    <n v="0.25"/>
    <n v="2155.5"/>
    <s v="New Sale"/>
    <s v="Organic"/>
    <s v="Quarterly"/>
  </r>
  <r>
    <d v="2024-07-14T00:00:00"/>
    <s v="Jul"/>
    <s v="2024"/>
    <s v="Yousuf Al Marri"/>
    <s v="Individual"/>
    <s v="SEO"/>
    <s v="Copywriting"/>
    <s v="Abu Dhabi"/>
    <n v="12171"/>
    <n v="0.25"/>
    <n v="3042.75"/>
    <s v="Repeat Sale"/>
    <s v="Organic"/>
    <s v="Quarterly"/>
  </r>
  <r>
    <d v="2024-07-16T00:00:00"/>
    <s v="Jul"/>
    <s v="2024"/>
    <s v="Rania Omar"/>
    <s v="Individual"/>
    <s v="SEO"/>
    <s v="Copywriting"/>
    <s v="Dubai"/>
    <n v="10535"/>
    <n v="0.25"/>
    <n v="2633.75"/>
    <s v="Repeat Sale"/>
    <s v="Walk in"/>
    <s v="Quarterly"/>
  </r>
  <r>
    <d v="2024-07-17T00:00:00"/>
    <s v="Jul"/>
    <s v="2024"/>
    <s v="Zephyr Industries"/>
    <s v="Company"/>
    <s v="Ads"/>
    <s v="Marketing"/>
    <s v="Ajman"/>
    <n v="7953"/>
    <n v="0.25"/>
    <n v="1988.25"/>
    <s v="Repeat Sale"/>
    <s v="Ads"/>
    <s v="Annual"/>
  </r>
  <r>
    <d v="2024-07-19T00:00:00"/>
    <s v="Jul"/>
    <s v="2024"/>
    <s v="Stratoscope"/>
    <s v="Company"/>
    <s v="SEO"/>
    <s v="Copywriting"/>
    <s v="Sharjah"/>
    <n v="10930"/>
    <n v="0.25"/>
    <n v="2732.5"/>
    <s v="New Sale"/>
    <s v="Walk in"/>
    <s v="Quarterly"/>
  </r>
  <r>
    <d v="2024-07-21T00:00:00"/>
    <s v="Jul"/>
    <s v="2024"/>
    <s v="Fatima Saeed"/>
    <s v="Individual"/>
    <s v="App Dev"/>
    <s v="Design"/>
    <s v="Al Ain"/>
    <n v="11500"/>
    <n v="0.4"/>
    <n v="4600"/>
    <s v="Repeat Sale"/>
    <s v="Ads"/>
    <s v="Annual"/>
  </r>
  <r>
    <d v="2024-07-21T00:00:00"/>
    <s v="Jul"/>
    <s v="2024"/>
    <s v="Yousuf Al Marri"/>
    <s v="Individual"/>
    <s v="SEO"/>
    <s v="Copywriting"/>
    <s v="Dubai"/>
    <n v="9291"/>
    <n v="0.25"/>
    <n v="2322.75"/>
    <s v="New Sale"/>
    <s v="Organic"/>
    <s v="Annual"/>
  </r>
  <r>
    <d v="2024-07-21T00:00:00"/>
    <s v="Jul"/>
    <s v="2024"/>
    <s v="Jamal Al Maktoum"/>
    <s v="Individual"/>
    <s v="App Dev"/>
    <s v="Design"/>
    <s v="Abu Dhabi"/>
    <n v="10444"/>
    <n v="0.4"/>
    <n v="4177.6000000000004"/>
    <s v="Repeat Sale"/>
    <s v="Organic"/>
    <s v="Annual"/>
  </r>
  <r>
    <d v="2024-07-22T00:00:00"/>
    <s v="Jul"/>
    <s v="2024"/>
    <s v="Noura Rashid"/>
    <s v="Individual"/>
    <s v="Web Dev"/>
    <s v="Design"/>
    <s v="Sharjah"/>
    <n v="9128"/>
    <n v="0.35"/>
    <n v="3194.7999999999997"/>
    <s v="New Sale"/>
    <s v="Organic"/>
    <s v="Monthly"/>
  </r>
  <r>
    <d v="2024-07-26T00:00:00"/>
    <s v="Jul"/>
    <s v="2024"/>
    <s v="Nexa Core"/>
    <s v="Company"/>
    <s v="Social Media"/>
    <s v="Marketing"/>
    <s v="Dubai"/>
    <n v="12227"/>
    <n v="0.3"/>
    <n v="3668.1"/>
    <s v="Repeat Sale"/>
    <s v="Walk in"/>
    <s v="Monthly"/>
  </r>
  <r>
    <d v="2024-07-26T00:00:00"/>
    <s v="Jul"/>
    <s v="2024"/>
    <s v="Fatima Saeed"/>
    <s v="Individual"/>
    <s v="SEO"/>
    <s v="Copywriting"/>
    <s v="Al Ain"/>
    <n v="11606"/>
    <n v="0.25"/>
    <n v="2901.5"/>
    <s v="New Sale"/>
    <s v="Walk in"/>
    <s v="Annual"/>
  </r>
  <r>
    <d v="2024-07-27T00:00:00"/>
    <s v="Jul"/>
    <s v="2024"/>
    <s v="Fatima Saeed"/>
    <s v="Individual"/>
    <s v="Web Dev"/>
    <s v="Design"/>
    <s v="Al Ain"/>
    <n v="8223"/>
    <n v="0.35"/>
    <n v="2878.0499999999997"/>
    <s v="Repeat Sale"/>
    <s v="Ads"/>
    <s v="Bi Annual"/>
  </r>
  <r>
    <d v="2024-07-29T00:00:00"/>
    <s v="Jul"/>
    <s v="2024"/>
    <s v="Altura Networks"/>
    <s v="Company"/>
    <s v="Social Media"/>
    <s v="Marketing"/>
    <s v="Abu Dhabi"/>
    <n v="8418"/>
    <n v="0.3"/>
    <n v="2525.4"/>
    <s v="Repeat Sale"/>
    <s v="Ads"/>
    <s v="Annual"/>
  </r>
  <r>
    <d v="2024-07-29T00:00:00"/>
    <s v="Jul"/>
    <s v="2024"/>
    <s v="Synergenix Labs"/>
    <s v="Company"/>
    <s v="SEO"/>
    <s v="Copywriting"/>
    <s v="Ajman"/>
    <n v="12124"/>
    <n v="0.25"/>
    <n v="3031"/>
    <s v="Repeat Sale"/>
    <s v="Ads"/>
    <s v="Monthly"/>
  </r>
  <r>
    <d v="2024-07-31T00:00:00"/>
    <s v="Jul"/>
    <s v="2024"/>
    <s v="Layla Al Dhanhani"/>
    <s v="Individual"/>
    <s v="Web Dev"/>
    <s v="Design"/>
    <s v="Sharjah"/>
    <n v="8914"/>
    <n v="0.35"/>
    <n v="3119.8999999999996"/>
    <s v="Repeat Sale"/>
    <s v="Organic"/>
    <s v="Bi Annual"/>
  </r>
  <r>
    <d v="2024-08-02T00:00:00"/>
    <s v="Aug"/>
    <s v="2024"/>
    <s v="Rania Omar"/>
    <s v="Individual"/>
    <s v="SEO"/>
    <s v="Copywriting"/>
    <s v="Sharjah"/>
    <n v="9798"/>
    <n v="0.25"/>
    <n v="2449.5"/>
    <s v="New Sale"/>
    <s v="Walk in"/>
    <s v="Quarterly"/>
  </r>
  <r>
    <d v="2024-08-03T00:00:00"/>
    <s v="Aug"/>
    <s v="2024"/>
    <s v="Vantoro Enterprises"/>
    <s v="Company"/>
    <s v="Social Media"/>
    <s v="Marketing"/>
    <s v="Al Ain"/>
    <n v="11567"/>
    <n v="0.3"/>
    <n v="3470.1"/>
    <s v="New Sale"/>
    <s v="Organic"/>
    <s v="Quarterly"/>
  </r>
  <r>
    <d v="2024-08-05T00:00:00"/>
    <s v="Aug"/>
    <s v="2024"/>
    <s v="Zephyr Industries"/>
    <s v="Company"/>
    <s v="App Dev"/>
    <s v="Design"/>
    <s v="Dubai"/>
    <n v="10695"/>
    <n v="0.4"/>
    <n v="4278"/>
    <s v="Repeat Sale"/>
    <s v="Ads"/>
    <s v="Bi Annual"/>
  </r>
  <r>
    <d v="2024-08-08T00:00:00"/>
    <s v="Aug"/>
    <s v="2024"/>
    <s v="Sarah Ahmed"/>
    <s v="Individual"/>
    <s v="Social Media"/>
    <s v="Marketing"/>
    <s v="Dubai"/>
    <n v="8172"/>
    <n v="0.3"/>
    <n v="2451.6"/>
    <s v="Repeat Sale"/>
    <s v="Organic"/>
    <s v="Monthly"/>
  </r>
  <r>
    <d v="2024-08-09T00:00:00"/>
    <s v="Aug"/>
    <s v="2024"/>
    <s v="Synergenix Labs"/>
    <s v="Company"/>
    <s v="SEO"/>
    <s v="Copywriting"/>
    <s v="Dubai"/>
    <n v="11861"/>
    <n v="0.25"/>
    <n v="2965.25"/>
    <s v="New Sale"/>
    <s v="Ads"/>
    <s v="Annual"/>
  </r>
  <r>
    <d v="2024-08-10T00:00:00"/>
    <s v="Aug"/>
    <s v="2024"/>
    <s v="Octavium Digital"/>
    <s v="Company"/>
    <s v="Ads"/>
    <s v="Marketing"/>
    <s v="Abu Dhabi"/>
    <n v="9891"/>
    <n v="0.25"/>
    <n v="2472.75"/>
    <s v="Repeat Sale"/>
    <s v="Ads"/>
    <s v="Quarterly"/>
  </r>
  <r>
    <d v="2024-08-10T00:00:00"/>
    <s v="Aug"/>
    <s v="2024"/>
    <s v="Omar Ali"/>
    <s v="Individual"/>
    <s v="Web Dev"/>
    <s v="Design"/>
    <s v="Sharjah"/>
    <n v="8926"/>
    <n v="0.35"/>
    <n v="3124.1"/>
    <s v="New Sale"/>
    <s v="Ads"/>
    <s v="Bi Annual"/>
  </r>
  <r>
    <d v="2024-08-12T00:00:00"/>
    <s v="Aug"/>
    <s v="2024"/>
    <s v="Yousuf Al Marri"/>
    <s v="Individual"/>
    <s v="Ads"/>
    <s v="Marketing"/>
    <s v="Sharjah"/>
    <n v="8360"/>
    <n v="0.25"/>
    <n v="2090"/>
    <s v="New Sale"/>
    <s v="Ads"/>
    <s v="Annual"/>
  </r>
  <r>
    <d v="2024-08-13T00:00:00"/>
    <s v="Aug"/>
    <s v="2024"/>
    <s v="Synergenix Labs"/>
    <s v="Company"/>
    <s v="Web Dev"/>
    <s v="Design"/>
    <s v="Dubai"/>
    <n v="11824"/>
    <n v="0.35"/>
    <n v="4138.3999999999996"/>
    <s v="New Sale"/>
    <s v="Organic"/>
    <s v="Bi Annual"/>
  </r>
  <r>
    <d v="2024-08-15T00:00:00"/>
    <s v="Aug"/>
    <s v="2024"/>
    <s v="Octavium Digital"/>
    <s v="Company"/>
    <s v="SEO"/>
    <s v="Copywriting"/>
    <s v="Al Ain"/>
    <n v="8742"/>
    <n v="0.25"/>
    <n v="2185.5"/>
    <s v="Repeat Sale"/>
    <s v="Walk in"/>
    <s v="Monthly"/>
  </r>
  <r>
    <d v="2024-08-17T00:00:00"/>
    <s v="Aug"/>
    <s v="2024"/>
    <s v="Synergenix Labs"/>
    <s v="Company"/>
    <s v="Web Dev"/>
    <s v="Design"/>
    <s v="Al Ain"/>
    <n v="10770"/>
    <n v="0.35"/>
    <n v="3769.4999999999995"/>
    <s v="Repeat Sale"/>
    <s v="Walk in"/>
    <s v="Annual"/>
  </r>
  <r>
    <d v="2024-08-18T00:00:00"/>
    <s v="Aug"/>
    <s v="2024"/>
    <s v="Saeed Al Saeed"/>
    <s v="Individual"/>
    <s v="SEO"/>
    <s v="Copywriting"/>
    <s v="Al Ain"/>
    <n v="9302"/>
    <n v="0.25"/>
    <n v="2325.5"/>
    <s v="Repeat Sale"/>
    <s v="Ads"/>
    <s v="Monthly"/>
  </r>
  <r>
    <d v="2024-08-19T00:00:00"/>
    <s v="Aug"/>
    <s v="2024"/>
    <s v="Fatima Saeed"/>
    <s v="Individual"/>
    <s v="Ads"/>
    <s v="Marketing"/>
    <s v="Abu Dhabi"/>
    <n v="12168"/>
    <n v="0.25"/>
    <n v="3042"/>
    <s v="Repeat Sale"/>
    <s v="Organic"/>
    <s v="Quarterly"/>
  </r>
  <r>
    <d v="2024-08-20T00:00:00"/>
    <s v="Aug"/>
    <s v="2024"/>
    <s v="Sarah Ahmed"/>
    <s v="Individual"/>
    <s v="Ads"/>
    <s v="Marketing"/>
    <s v="Dubai"/>
    <n v="10185"/>
    <n v="0.25"/>
    <n v="2546.25"/>
    <s v="Repeat Sale"/>
    <s v="Organic"/>
    <s v="Quarterly"/>
  </r>
  <r>
    <d v="2024-08-25T00:00:00"/>
    <s v="Aug"/>
    <s v="2024"/>
    <s v="Tariq Al Zahrani"/>
    <s v="Individual"/>
    <s v="SEO"/>
    <s v="Copywriting"/>
    <s v="Dubai"/>
    <n v="8728"/>
    <n v="0.25"/>
    <n v="2182"/>
    <s v="New Sale"/>
    <s v="Ads"/>
    <s v="Bi Annual"/>
  </r>
  <r>
    <d v="2024-08-26T00:00:00"/>
    <s v="Aug"/>
    <s v="2024"/>
    <s v="Noura Rashid"/>
    <s v="Individual"/>
    <s v="SEO"/>
    <s v="Copywriting"/>
    <s v="Dubai"/>
    <n v="7600"/>
    <n v="0.25"/>
    <n v="1900"/>
    <s v="Repeat Sale"/>
    <s v="Organic"/>
    <s v="Annual"/>
  </r>
  <r>
    <d v="2024-08-27T00:00:00"/>
    <s v="Aug"/>
    <s v="2024"/>
    <s v="Vantoro Enterprises"/>
    <s v="Company"/>
    <s v="Ads"/>
    <s v="Marketing"/>
    <s v="Dubai"/>
    <n v="11230"/>
    <n v="0.25"/>
    <n v="2807.5"/>
    <s v="Repeat Sale"/>
    <s v="Walk in"/>
    <s v="Quarterly"/>
  </r>
  <r>
    <d v="2024-08-28T00:00:00"/>
    <s v="Aug"/>
    <s v="2024"/>
    <s v="Octavium Digital"/>
    <s v="Company"/>
    <s v="App Dev"/>
    <s v="Design"/>
    <s v="Dubai"/>
    <n v="10417"/>
    <n v="0.4"/>
    <n v="4166.8"/>
    <s v="Repeat Sale"/>
    <s v="Walk in"/>
    <s v="Bi Annual"/>
  </r>
  <r>
    <d v="2024-08-29T00:00:00"/>
    <s v="Aug"/>
    <s v="2024"/>
    <s v="Synergenix Labs"/>
    <s v="Company"/>
    <s v="SEO"/>
    <s v="Copywriting"/>
    <s v="Sharjah"/>
    <n v="12228"/>
    <n v="0.25"/>
    <n v="3057"/>
    <s v="Repeat Sale"/>
    <s v="Organic"/>
    <s v="Annual"/>
  </r>
  <r>
    <d v="2024-08-30T00:00:00"/>
    <s v="Aug"/>
    <s v="2024"/>
    <s v="Basma Nasser"/>
    <s v="Individual"/>
    <s v="Web Dev"/>
    <s v="Design"/>
    <s v="Al Ain"/>
    <n v="7994"/>
    <n v="0.35"/>
    <n v="2797.8999999999996"/>
    <s v="New Sale"/>
    <s v="Ads"/>
    <s v="Bi Annual"/>
  </r>
  <r>
    <d v="2024-09-01T00:00:00"/>
    <s v="Sep"/>
    <s v="2024"/>
    <s v="InfiNova Technologies"/>
    <s v="Company"/>
    <s v="Web Dev"/>
    <s v="Design"/>
    <s v="Al Ain"/>
    <n v="7821"/>
    <n v="0.35"/>
    <n v="2737.35"/>
    <s v="New Sale"/>
    <s v="Organic"/>
    <s v="Quarterly"/>
  </r>
  <r>
    <d v="2024-09-01T00:00:00"/>
    <s v="Sep"/>
    <s v="2024"/>
    <s v="Stratoscope"/>
    <s v="Company"/>
    <s v="Ads"/>
    <s v="Marketing"/>
    <s v="Dubai"/>
    <n v="8307"/>
    <n v="0.25"/>
    <n v="2076.75"/>
    <s v="Repeat Sale"/>
    <s v="Ads"/>
    <s v="Annual"/>
  </r>
  <r>
    <d v="2024-09-01T00:00:00"/>
    <s v="Sep"/>
    <s v="2024"/>
    <s v="Jamal Al Maktoum"/>
    <s v="Individual"/>
    <s v="Ads"/>
    <s v="Marketing"/>
    <s v="Ajman"/>
    <n v="12123"/>
    <n v="0.25"/>
    <n v="3030.75"/>
    <s v="New Sale"/>
    <s v="Walk in"/>
    <s v="Monthly"/>
  </r>
  <r>
    <d v="2024-09-02T00:00:00"/>
    <s v="Sep"/>
    <s v="2024"/>
    <s v="Quanta Sphere Tech"/>
    <s v="Company"/>
    <s v="SEO"/>
    <s v="Copywriting"/>
    <s v="Abu Dhabi"/>
    <n v="9011"/>
    <n v="0.25"/>
    <n v="2252.75"/>
    <s v="New Sale"/>
    <s v="Organic"/>
    <s v="Bi Annual"/>
  </r>
  <r>
    <d v="2024-09-02T00:00:00"/>
    <s v="Sep"/>
    <s v="2024"/>
    <s v="Fatima Saeed"/>
    <s v="Individual"/>
    <s v="App Dev"/>
    <s v="Design"/>
    <s v="Abu Dhabi"/>
    <n v="7838"/>
    <n v="0.4"/>
    <n v="3135.2000000000003"/>
    <s v="Repeat Sale"/>
    <s v="Organic"/>
    <s v="Annual"/>
  </r>
  <r>
    <d v="2024-09-04T00:00:00"/>
    <s v="Sep"/>
    <s v="2024"/>
    <s v="Altura Networks"/>
    <s v="Company"/>
    <s v="SEO"/>
    <s v="Copywriting"/>
    <s v="Dubai"/>
    <n v="8749"/>
    <n v="0.25"/>
    <n v="2187.25"/>
    <s v="New Sale"/>
    <s v="Ads"/>
    <s v="Monthly"/>
  </r>
  <r>
    <d v="2024-09-05T00:00:00"/>
    <s v="Sep"/>
    <s v="2024"/>
    <s v="Yousuf Al Marri"/>
    <s v="Individual"/>
    <s v="Social Media"/>
    <s v="Marketing"/>
    <s v="Abu Dhabi"/>
    <n v="10186"/>
    <n v="0.3"/>
    <n v="3055.7999999999997"/>
    <s v="New Sale"/>
    <s v="Organic"/>
    <s v="Monthly"/>
  </r>
  <r>
    <d v="2024-09-07T00:00:00"/>
    <s v="Sep"/>
    <s v="2024"/>
    <s v="InfiNova Technologies"/>
    <s v="Company"/>
    <s v="SEO"/>
    <s v="Copywriting"/>
    <s v="Sharjah"/>
    <n v="10716"/>
    <n v="0.25"/>
    <n v="2679"/>
    <s v="Repeat Sale"/>
    <s v="Ads"/>
    <s v="Bi Annual"/>
  </r>
  <r>
    <d v="2024-09-08T00:00:00"/>
    <s v="Sep"/>
    <s v="2024"/>
    <s v="Ali Juma"/>
    <s v="Individual"/>
    <s v="Web Dev"/>
    <s v="Design"/>
    <s v="Al Ain"/>
    <n v="7772"/>
    <n v="0.35"/>
    <n v="2720.2"/>
    <s v="Repeat Sale"/>
    <s v="Ads"/>
    <s v="Quarterly"/>
  </r>
  <r>
    <d v="2024-09-08T00:00:00"/>
    <s v="Sep"/>
    <s v="2024"/>
    <s v="Rania Omar"/>
    <s v="Individual"/>
    <s v="Social Media"/>
    <s v="Marketing"/>
    <s v="Abu Dhabi"/>
    <n v="10727"/>
    <n v="0.3"/>
    <n v="3218.1"/>
    <s v="Repeat Sale"/>
    <s v="Ads"/>
    <s v="Quarterly"/>
  </r>
  <r>
    <d v="2024-09-09T00:00:00"/>
    <s v="Sep"/>
    <s v="2024"/>
    <s v="Quanta Sphere Tech"/>
    <s v="Company"/>
    <s v="Social Media"/>
    <s v="Marketing"/>
    <s v="Abu Dhabi"/>
    <n v="9692"/>
    <n v="0.3"/>
    <n v="2907.6"/>
    <s v="New Sale"/>
    <s v="Walk in"/>
    <s v="Monthly"/>
  </r>
  <r>
    <d v="2024-09-09T00:00:00"/>
    <s v="Sep"/>
    <s v="2024"/>
    <s v="Tariq Al Zahrani"/>
    <s v="Individual"/>
    <s v="Ads"/>
    <s v="Marketing"/>
    <s v="Ajman"/>
    <n v="7719"/>
    <n v="0.25"/>
    <n v="1929.75"/>
    <s v="Repeat Sale"/>
    <s v="Walk in"/>
    <s v="Monthly"/>
  </r>
  <r>
    <d v="2024-09-11T00:00:00"/>
    <s v="Sep"/>
    <s v="2024"/>
    <s v="Saeed Al Saeed"/>
    <s v="Individual"/>
    <s v="App Dev"/>
    <s v="Design"/>
    <s v="Dubai"/>
    <n v="10696"/>
    <n v="0.4"/>
    <n v="4278.4000000000005"/>
    <s v="New Sale"/>
    <s v="Walk in"/>
    <s v="Annual"/>
  </r>
  <r>
    <d v="2024-09-17T00:00:00"/>
    <s v="Sep"/>
    <s v="2024"/>
    <s v="Quanta Sphere Tech"/>
    <s v="Company"/>
    <s v="Web Dev"/>
    <s v="Design"/>
    <s v="Sharjah"/>
    <n v="8937"/>
    <n v="0.35"/>
    <n v="3127.95"/>
    <s v="Repeat Sale"/>
    <s v="Walk in"/>
    <s v="Bi Annual"/>
  </r>
  <r>
    <d v="2024-09-21T00:00:00"/>
    <s v="Sep"/>
    <s v="2024"/>
    <s v="Sarah Ahmed"/>
    <s v="Individual"/>
    <s v="SEO"/>
    <s v="Copywriting"/>
    <s v="Ajman"/>
    <n v="8073"/>
    <n v="0.25"/>
    <n v="2018.25"/>
    <s v="New Sale"/>
    <s v="Walk in"/>
    <s v="Monthly"/>
  </r>
  <r>
    <d v="2024-09-23T00:00:00"/>
    <s v="Sep"/>
    <s v="2024"/>
    <s v="Ali Juma"/>
    <s v="Individual"/>
    <s v="SEO"/>
    <s v="Copywriting"/>
    <s v="Sharjah"/>
    <n v="8022"/>
    <n v="0.25"/>
    <n v="2005.5"/>
    <s v="Repeat Sale"/>
    <s v="Ads"/>
    <s v="Quarterly"/>
  </r>
  <r>
    <d v="2024-09-27T00:00:00"/>
    <s v="Sep"/>
    <s v="2024"/>
    <s v="Solvium Solutions"/>
    <s v="Company"/>
    <s v="Ads"/>
    <s v="Marketing"/>
    <s v="Dubai"/>
    <n v="8595"/>
    <n v="0.25"/>
    <n v="2148.75"/>
    <s v="Repeat Sale"/>
    <s v="Walk in"/>
    <s v="Bi Annual"/>
  </r>
  <r>
    <d v="2024-09-27T00:00:00"/>
    <s v="Sep"/>
    <s v="2024"/>
    <s v="Jamal Al Maktoum"/>
    <s v="Individual"/>
    <s v="App Dev"/>
    <s v="Design"/>
    <s v="Dubai"/>
    <n v="11394"/>
    <n v="0.4"/>
    <n v="4557.6000000000004"/>
    <s v="Repeat Sale"/>
    <s v="Organic"/>
    <s v="Bi Annual"/>
  </r>
  <r>
    <d v="2024-09-28T00:00:00"/>
    <s v="Sep"/>
    <s v="2024"/>
    <s v="Vantoro Enterprises"/>
    <s v="Company"/>
    <s v="SEO"/>
    <s v="Copywriting"/>
    <s v="Sharjah"/>
    <n v="10952"/>
    <n v="0.25"/>
    <n v="2738"/>
    <s v="Repeat Sale"/>
    <s v="Organic"/>
    <s v="Annual"/>
  </r>
  <r>
    <d v="2024-09-29T00:00:00"/>
    <s v="Sep"/>
    <s v="2024"/>
    <s v="Altura Networks"/>
    <s v="Company"/>
    <s v="Web Dev"/>
    <s v="Design"/>
    <s v="Ajman"/>
    <n v="10647"/>
    <n v="0.35"/>
    <n v="3726.45"/>
    <s v="New Sale"/>
    <s v="Walk in"/>
    <s v="Quarterly"/>
  </r>
  <r>
    <d v="2024-10-02T00:00:00"/>
    <s v="Oct"/>
    <s v="2024"/>
    <s v="Synergenix Labs"/>
    <s v="Company"/>
    <s v="Web Dev"/>
    <s v="Design"/>
    <s v="Dubai"/>
    <n v="12237"/>
    <n v="0.35"/>
    <n v="4282.95"/>
    <s v="New Sale"/>
    <s v="Organic"/>
    <s v="Quarterly"/>
  </r>
  <r>
    <d v="2024-10-05T00:00:00"/>
    <s v="Oct"/>
    <s v="2024"/>
    <s v="Khaled Al Farsi"/>
    <s v="Individual"/>
    <s v="App Dev"/>
    <s v="Design"/>
    <s v="Dubai"/>
    <n v="7697"/>
    <n v="0.4"/>
    <n v="3078.8"/>
    <s v="Repeat Sale"/>
    <s v="Walk in"/>
    <s v="Quarterly"/>
  </r>
  <r>
    <d v="2024-10-08T00:00:00"/>
    <s v="Oct"/>
    <s v="2024"/>
    <s v="Aetherion Systems"/>
    <s v="Company"/>
    <s v="Web Dev"/>
    <s v="Design"/>
    <s v="Al Ain"/>
    <n v="10561"/>
    <n v="0.35"/>
    <n v="3696.35"/>
    <s v="New Sale"/>
    <s v="Organic"/>
    <s v="Quarterly"/>
  </r>
  <r>
    <d v="2024-10-09T00:00:00"/>
    <s v="Oct"/>
    <s v="2024"/>
    <s v="Vantoro Enterprises"/>
    <s v="Company"/>
    <s v="Web Dev"/>
    <s v="Design"/>
    <s v="Ajman"/>
    <n v="9113"/>
    <n v="0.35"/>
    <n v="3189.5499999999997"/>
    <s v="Repeat Sale"/>
    <s v="Organic"/>
    <s v="Monthly"/>
  </r>
  <r>
    <d v="2024-10-12T00:00:00"/>
    <s v="Oct"/>
    <s v="2024"/>
    <s v="Hanan Al Khatri"/>
    <s v="Individual"/>
    <s v="Web Dev"/>
    <s v="Design"/>
    <s v="Sharjah"/>
    <n v="11072"/>
    <n v="0.35"/>
    <n v="3875.2"/>
    <s v="Repeat Sale"/>
    <s v="Organic"/>
    <s v="Annual"/>
  </r>
  <r>
    <d v="2024-10-13T00:00:00"/>
    <s v="Oct"/>
    <s v="2024"/>
    <s v="Synergenix Labs"/>
    <s v="Company"/>
    <s v="SEO"/>
    <s v="Copywriting"/>
    <s v="Abu Dhabi"/>
    <n v="11431"/>
    <n v="0.25"/>
    <n v="2857.75"/>
    <s v="Repeat Sale"/>
    <s v="Ads"/>
    <s v="Annual"/>
  </r>
  <r>
    <d v="2024-10-13T00:00:00"/>
    <s v="Oct"/>
    <s v="2024"/>
    <s v="Quanta Sphere Tech"/>
    <s v="Company"/>
    <s v="SEO"/>
    <s v="Copywriting"/>
    <s v="Dubai"/>
    <n v="8292"/>
    <n v="0.25"/>
    <n v="2073"/>
    <s v="New Sale"/>
    <s v="Organic"/>
    <s v="Annual"/>
  </r>
  <r>
    <d v="2024-10-16T00:00:00"/>
    <s v="Oct"/>
    <s v="2024"/>
    <s v="Synergenix Labs"/>
    <s v="Company"/>
    <s v="App Dev"/>
    <s v="Design"/>
    <s v="Abu Dhabi"/>
    <n v="9766"/>
    <n v="0.4"/>
    <n v="3906.4"/>
    <s v="Repeat Sale"/>
    <s v="Walk in"/>
    <s v="Monthly"/>
  </r>
  <r>
    <d v="2024-10-17T00:00:00"/>
    <s v="Oct"/>
    <s v="2024"/>
    <s v="Octavium Digital"/>
    <s v="Company"/>
    <s v="Ads"/>
    <s v="Marketing"/>
    <s v="Dubai"/>
    <n v="12273"/>
    <n v="0.25"/>
    <n v="3068.25"/>
    <s v="Repeat Sale"/>
    <s v="Organic"/>
    <s v="Bi Annual"/>
  </r>
  <r>
    <d v="2024-10-18T00:00:00"/>
    <s v="Oct"/>
    <s v="2024"/>
    <s v="Altura Networks"/>
    <s v="Company"/>
    <s v="Web Dev"/>
    <s v="Design"/>
    <s v="Dubai"/>
    <n v="9992"/>
    <n v="0.35"/>
    <n v="3497.2"/>
    <s v="Repeat Sale"/>
    <s v="Walk in"/>
    <s v="Bi Annual"/>
  </r>
  <r>
    <d v="2024-10-19T00:00:00"/>
    <s v="Oct"/>
    <s v="2024"/>
    <s v="Mariam Al Shamsi"/>
    <s v="Individual"/>
    <s v="App Dev"/>
    <s v="Design"/>
    <s v="Al Ain"/>
    <n v="9750"/>
    <n v="0.4"/>
    <n v="3900"/>
    <s v="New Sale"/>
    <s v="Organic"/>
    <s v="Annual"/>
  </r>
  <r>
    <d v="2024-10-22T00:00:00"/>
    <s v="Oct"/>
    <s v="2024"/>
    <s v="Mona Al Humaidi"/>
    <s v="Individual"/>
    <s v="SEO"/>
    <s v="Copywriting"/>
    <s v="Ajman"/>
    <n v="12051"/>
    <n v="0.25"/>
    <n v="3012.75"/>
    <s v="New Sale"/>
    <s v="Ads"/>
    <s v="Monthly"/>
  </r>
  <r>
    <d v="2024-10-22T00:00:00"/>
    <s v="Oct"/>
    <s v="2024"/>
    <s v="Zayed Al Nuaimi"/>
    <s v="Individual"/>
    <s v="Social Media"/>
    <s v="Marketing"/>
    <s v="Al Ain"/>
    <n v="8442"/>
    <n v="0.3"/>
    <n v="2532.6"/>
    <s v="Repeat Sale"/>
    <s v="Walk in"/>
    <s v="Quarterly"/>
  </r>
  <r>
    <d v="2024-10-22T00:00:00"/>
    <s v="Oct"/>
    <s v="2024"/>
    <s v="Saeed Al Saeed"/>
    <s v="Individual"/>
    <s v="SEO"/>
    <s v="Copywriting"/>
    <s v="Sharjah"/>
    <n v="10526"/>
    <n v="0.25"/>
    <n v="2631.5"/>
    <s v="Repeat Sale"/>
    <s v="Walk in"/>
    <s v="Monthly"/>
  </r>
  <r>
    <d v="2024-10-25T00:00:00"/>
    <s v="Oct"/>
    <s v="2024"/>
    <s v="Hanan Al Khatri"/>
    <s v="Individual"/>
    <s v="App Dev"/>
    <s v="Design"/>
    <s v="Dubai"/>
    <n v="10041"/>
    <n v="0.4"/>
    <n v="4016.4"/>
    <s v="Repeat Sale"/>
    <s v="Walk in"/>
    <s v="Bi Annual"/>
  </r>
  <r>
    <d v="2024-10-26T00:00:00"/>
    <s v="Oct"/>
    <s v="2024"/>
    <s v="Mariam Al Shamsi"/>
    <s v="Individual"/>
    <s v="SEO"/>
    <s v="Copywriting"/>
    <s v="Abu Dhabi"/>
    <n v="10310"/>
    <n v="0.25"/>
    <n v="2577.5"/>
    <s v="Repeat Sale"/>
    <s v="Organic"/>
    <s v="Monthly"/>
  </r>
  <r>
    <d v="2024-10-28T00:00:00"/>
    <s v="Oct"/>
    <s v="2024"/>
    <s v="Nexa Core"/>
    <s v="Company"/>
    <s v="Web Dev"/>
    <s v="Design"/>
    <s v="Abu Dhabi"/>
    <n v="11400"/>
    <n v="0.35"/>
    <n v="3989.9999999999995"/>
    <s v="New Sale"/>
    <s v="Walk in"/>
    <s v="Annual"/>
  </r>
  <r>
    <d v="2024-10-28T00:00:00"/>
    <s v="Oct"/>
    <s v="2024"/>
    <s v="Octavium Digital"/>
    <s v="Company"/>
    <s v="Web Dev"/>
    <s v="Design"/>
    <s v="Sharjah"/>
    <n v="9897"/>
    <n v="0.35"/>
    <n v="3463.95"/>
    <s v="New Sale"/>
    <s v="Walk in"/>
    <s v="Quarterly"/>
  </r>
  <r>
    <d v="2024-10-28T00:00:00"/>
    <s v="Oct"/>
    <s v="2024"/>
    <s v="Jamal Al Maktoum"/>
    <s v="Individual"/>
    <s v="Web Dev"/>
    <s v="Design"/>
    <s v="Dubai"/>
    <n v="7923"/>
    <n v="0.35"/>
    <n v="2773.0499999999997"/>
    <s v="New Sale"/>
    <s v="Organic"/>
    <s v="Bi Annual"/>
  </r>
  <r>
    <d v="2024-10-29T00:00:00"/>
    <s v="Oct"/>
    <s v="2024"/>
    <s v="Zayed Al Nuaimi"/>
    <s v="Individual"/>
    <s v="Social Media"/>
    <s v="Marketing"/>
    <s v="Dubai"/>
    <n v="11302"/>
    <n v="0.3"/>
    <n v="3390.6"/>
    <s v="New Sale"/>
    <s v="Organic"/>
    <s v="Monthly"/>
  </r>
  <r>
    <d v="2024-11-04T00:00:00"/>
    <s v="Nov"/>
    <s v="2024"/>
    <s v="Layla Al Dhanhani"/>
    <s v="Individual"/>
    <s v="Web Dev"/>
    <s v="Design"/>
    <s v="Al Ain"/>
    <n v="9544"/>
    <n v="0.35"/>
    <n v="3340.3999999999996"/>
    <s v="New Sale"/>
    <s v="Ads"/>
    <s v="Monthly"/>
  </r>
  <r>
    <d v="2024-11-06T00:00:00"/>
    <s v="Nov"/>
    <s v="2024"/>
    <s v="Laila Al Mulla"/>
    <s v="Individual"/>
    <s v="App Dev"/>
    <s v="Design"/>
    <s v="Ajman"/>
    <n v="8514"/>
    <n v="0.4"/>
    <n v="3405.6000000000004"/>
    <s v="New Sale"/>
    <s v="Walk in"/>
    <s v="Quarterly"/>
  </r>
  <r>
    <d v="2024-11-07T00:00:00"/>
    <s v="Nov"/>
    <s v="2024"/>
    <s v="Solvium Solutions"/>
    <s v="Company"/>
    <s v="Social Media"/>
    <s v="Marketing"/>
    <s v="Al Ain"/>
    <n v="10974"/>
    <n v="0.3"/>
    <n v="3292.2"/>
    <s v="Repeat Sale"/>
    <s v="Organic"/>
    <s v="Monthly"/>
  </r>
  <r>
    <d v="2024-11-07T00:00:00"/>
    <s v="Nov"/>
    <s v="2024"/>
    <s v="Mariam Al Shamsi"/>
    <s v="Individual"/>
    <s v="Ads"/>
    <s v="Marketing"/>
    <s v="Abu Dhabi"/>
    <n v="8571"/>
    <n v="0.25"/>
    <n v="2142.75"/>
    <s v="New Sale"/>
    <s v="Organic"/>
    <s v="Monthly"/>
  </r>
  <r>
    <d v="2024-11-10T00:00:00"/>
    <s v="Nov"/>
    <s v="2024"/>
    <s v="InfiNova Technologies"/>
    <s v="Company"/>
    <s v="App Dev"/>
    <s v="Design"/>
    <s v="Abu Dhabi"/>
    <n v="8396"/>
    <n v="0.4"/>
    <n v="3358.4"/>
    <s v="Repeat Sale"/>
    <s v="Ads"/>
    <s v="Monthly"/>
  </r>
  <r>
    <d v="2024-11-10T00:00:00"/>
    <s v="Nov"/>
    <s v="2024"/>
    <s v="Altura Networks"/>
    <s v="Company"/>
    <s v="Ads"/>
    <s v="Marketing"/>
    <s v="Al Ain"/>
    <n v="7837"/>
    <n v="0.25"/>
    <n v="1959.25"/>
    <s v="Repeat Sale"/>
    <s v="Walk in"/>
    <s v="Monthly"/>
  </r>
  <r>
    <d v="2024-11-12T00:00:00"/>
    <s v="Nov"/>
    <s v="2024"/>
    <s v="Quanta Sphere Tech"/>
    <s v="Company"/>
    <s v="Web Dev"/>
    <s v="Design"/>
    <s v="Dubai"/>
    <n v="10358"/>
    <n v="0.35"/>
    <n v="3625.2999999999997"/>
    <s v="Repeat Sale"/>
    <s v="Organic"/>
    <s v="Bi Annual"/>
  </r>
  <r>
    <d v="2024-11-13T00:00:00"/>
    <s v="Nov"/>
    <s v="2024"/>
    <s v="Sarah Ahmed"/>
    <s v="Individual"/>
    <s v="Web Dev"/>
    <s v="Design"/>
    <s v="Sharjah"/>
    <n v="8002"/>
    <n v="0.35"/>
    <n v="2800.7"/>
    <s v="New Sale"/>
    <s v="Organic"/>
    <s v="Bi Annual"/>
  </r>
  <r>
    <d v="2024-11-16T00:00:00"/>
    <s v="Nov"/>
    <s v="2024"/>
    <s v="Zephyr Industries"/>
    <s v="Company"/>
    <s v="SEO"/>
    <s v="Copywriting"/>
    <s v="Dubai"/>
    <n v="7833"/>
    <n v="0.25"/>
    <n v="1958.25"/>
    <s v="New Sale"/>
    <s v="Walk in"/>
    <s v="Bi Annual"/>
  </r>
  <r>
    <d v="2024-11-16T00:00:00"/>
    <s v="Nov"/>
    <s v="2024"/>
    <s v="InfiNova Technologies"/>
    <s v="Company"/>
    <s v="Social Media"/>
    <s v="Marketing"/>
    <s v="Sharjah"/>
    <n v="8395"/>
    <n v="0.3"/>
    <n v="2518.5"/>
    <s v="New Sale"/>
    <s v="Organic"/>
    <s v="Monthly"/>
  </r>
  <r>
    <d v="2024-11-19T00:00:00"/>
    <s v="Nov"/>
    <s v="2024"/>
    <s v="Noura Rashid"/>
    <s v="Individual"/>
    <s v="SEO"/>
    <s v="Copywriting"/>
    <s v="Abu Dhabi"/>
    <n v="8763"/>
    <n v="0.25"/>
    <n v="2190.75"/>
    <s v="Repeat Sale"/>
    <s v="Ads"/>
    <s v="Annual"/>
  </r>
  <r>
    <d v="2024-11-20T00:00:00"/>
    <s v="Nov"/>
    <s v="2024"/>
    <s v="Zayed Al Nuaimi"/>
    <s v="Individual"/>
    <s v="SEO"/>
    <s v="Copywriting"/>
    <s v="Dubai"/>
    <n v="8611"/>
    <n v="0.25"/>
    <n v="2152.75"/>
    <s v="Repeat Sale"/>
    <s v="Organic"/>
    <s v="Bi Annual"/>
  </r>
  <r>
    <d v="2024-11-21T00:00:00"/>
    <s v="Nov"/>
    <s v="2024"/>
    <s v="Vantoro Enterprises"/>
    <s v="Company"/>
    <s v="SEO"/>
    <s v="Copywriting"/>
    <s v="Al Ain"/>
    <n v="9027"/>
    <n v="0.25"/>
    <n v="2256.75"/>
    <s v="New Sale"/>
    <s v="Walk in"/>
    <s v="Quarterly"/>
  </r>
  <r>
    <d v="2024-11-21T00:00:00"/>
    <s v="Nov"/>
    <s v="2024"/>
    <s v="Mona Al Humaidi"/>
    <s v="Individual"/>
    <s v="SEO"/>
    <s v="Copywriting"/>
    <s v="Dubai"/>
    <n v="9355"/>
    <n v="0.25"/>
    <n v="2338.75"/>
    <s v="New Sale"/>
    <s v="Walk in"/>
    <s v="Annual"/>
  </r>
  <r>
    <d v="2024-11-23T00:00:00"/>
    <s v="Nov"/>
    <s v="2024"/>
    <s v="Luminex Global"/>
    <s v="Company"/>
    <s v="Ads"/>
    <s v="Marketing"/>
    <s v="Ajman"/>
    <n v="10086"/>
    <n v="0.25"/>
    <n v="2521.5"/>
    <s v="Repeat Sale"/>
    <s v="Organic"/>
    <s v="Quarterly"/>
  </r>
  <r>
    <d v="2024-11-23T00:00:00"/>
    <s v="Nov"/>
    <s v="2024"/>
    <s v="InfiNova Technologies"/>
    <s v="Company"/>
    <s v="Ads"/>
    <s v="Marketing"/>
    <s v="Abu Dhabi"/>
    <n v="11777"/>
    <n v="0.25"/>
    <n v="2944.25"/>
    <s v="Repeat Sale"/>
    <s v="Walk in"/>
    <s v="Quarterly"/>
  </r>
  <r>
    <d v="2024-11-23T00:00:00"/>
    <s v="Nov"/>
    <s v="2024"/>
    <s v="Sarah Ahmed"/>
    <s v="Individual"/>
    <s v="Social Media"/>
    <s v="Marketing"/>
    <s v="Abu Dhabi"/>
    <n v="10987"/>
    <n v="0.3"/>
    <n v="3296.1"/>
    <s v="Repeat Sale"/>
    <s v="Organic"/>
    <s v="Monthly"/>
  </r>
  <r>
    <d v="2024-11-24T00:00:00"/>
    <s v="Nov"/>
    <s v="2024"/>
    <s v="Luminex Global"/>
    <s v="Company"/>
    <s v="SEO"/>
    <s v="Copywriting"/>
    <s v="Sharjah"/>
    <n v="10033"/>
    <n v="0.25"/>
    <n v="2508.25"/>
    <s v="Repeat Sale"/>
    <s v="Walk in"/>
    <s v="Annual"/>
  </r>
  <r>
    <d v="2024-11-27T00:00:00"/>
    <s v="Nov"/>
    <s v="2024"/>
    <s v="Noura Rashid"/>
    <s v="Individual"/>
    <s v="SEO"/>
    <s v="Copywriting"/>
    <s v="Ajman"/>
    <n v="9393"/>
    <n v="0.25"/>
    <n v="2348.25"/>
    <s v="New Sale"/>
    <s v="Organic"/>
    <s v="Quarterly"/>
  </r>
  <r>
    <d v="2024-11-30T00:00:00"/>
    <s v="Nov"/>
    <s v="2024"/>
    <s v="Fatima Saeed"/>
    <s v="Individual"/>
    <s v="App Dev"/>
    <s v="Design"/>
    <s v="Dubai"/>
    <n v="8047"/>
    <n v="0.4"/>
    <n v="3218.8"/>
    <s v="New Sale"/>
    <s v="Organic"/>
    <s v="Annual"/>
  </r>
  <r>
    <d v="2024-12-03T00:00:00"/>
    <s v="Dec"/>
    <s v="2024"/>
    <s v="Laila Al Mulla"/>
    <s v="Individual"/>
    <s v="Web Dev"/>
    <s v="Design"/>
    <s v="Ajman"/>
    <n v="9659"/>
    <n v="0.35"/>
    <n v="3380.6499999999996"/>
    <s v="Repeat Sale"/>
    <s v="Walk in"/>
    <s v="Annual"/>
  </r>
  <r>
    <d v="2024-12-10T00:00:00"/>
    <s v="Dec"/>
    <s v="2024"/>
    <s v="Solvium Solutions"/>
    <s v="Company"/>
    <s v="Social Media"/>
    <s v="Marketing"/>
    <s v="Ajman"/>
    <n v="10862"/>
    <n v="0.3"/>
    <n v="3258.6"/>
    <s v="Repeat Sale"/>
    <s v="Walk in"/>
    <s v="Bi Annual"/>
  </r>
  <r>
    <d v="2024-12-11T00:00:00"/>
    <s v="Dec"/>
    <s v="2024"/>
    <s v="Sarah Ahmed"/>
    <s v="Individual"/>
    <s v="Social Media"/>
    <s v="Marketing"/>
    <s v="Dubai"/>
    <n v="10307"/>
    <n v="0.3"/>
    <n v="3092.1"/>
    <s v="Repeat Sale"/>
    <s v="Ads"/>
    <s v="Monthly"/>
  </r>
  <r>
    <d v="2024-12-11T00:00:00"/>
    <s v="Dec"/>
    <s v="2024"/>
    <s v="Zayed Al Nuaimi"/>
    <s v="Individual"/>
    <s v="Web Dev"/>
    <s v="Design"/>
    <s v="Abu Dhabi"/>
    <n v="8071"/>
    <n v="0.35"/>
    <n v="2824.85"/>
    <s v="New Sale"/>
    <s v="Walk in"/>
    <s v="Monthly"/>
  </r>
  <r>
    <d v="2024-12-14T00:00:00"/>
    <s v="Dec"/>
    <s v="2024"/>
    <s v="Basma Nasser"/>
    <s v="Individual"/>
    <s v="SEO"/>
    <s v="Copywriting"/>
    <s v="Abu Dhabi"/>
    <n v="11504"/>
    <n v="0.25"/>
    <n v="2876"/>
    <s v="New Sale"/>
    <s v="Organic"/>
    <s v="Monthly"/>
  </r>
  <r>
    <d v="2024-12-17T00:00:00"/>
    <s v="Dec"/>
    <s v="2024"/>
    <s v="Stratoscope"/>
    <s v="Company"/>
    <s v="App Dev"/>
    <s v="Design"/>
    <s v="Dubai"/>
    <n v="8983"/>
    <n v="0.4"/>
    <n v="3593.2000000000003"/>
    <s v="Repeat Sale"/>
    <s v="Walk in"/>
    <s v="Bi Annual"/>
  </r>
  <r>
    <d v="2024-12-17T00:00:00"/>
    <s v="Dec"/>
    <s v="2024"/>
    <s v="Luminex Global"/>
    <s v="Company"/>
    <s v="SEO"/>
    <s v="Copywriting"/>
    <s v="Abu Dhabi"/>
    <n v="11329"/>
    <n v="0.25"/>
    <n v="2832.25"/>
    <s v="Repeat Sale"/>
    <s v="Walk in"/>
    <s v="Annual"/>
  </r>
  <r>
    <d v="2024-12-18T00:00:00"/>
    <s v="Dec"/>
    <s v="2024"/>
    <s v="Stratoscope"/>
    <s v="Company"/>
    <s v="Ads"/>
    <s v="Marketing"/>
    <s v="Dubai"/>
    <n v="10036"/>
    <n v="0.25"/>
    <n v="2509"/>
    <s v="Repeat Sale"/>
    <s v="Ads"/>
    <s v="Monthly"/>
  </r>
  <r>
    <d v="2024-12-18T00:00:00"/>
    <s v="Dec"/>
    <s v="2024"/>
    <s v="Fatima Saeed"/>
    <s v="Individual"/>
    <s v="Social Media"/>
    <s v="Marketing"/>
    <s v="Al Ain"/>
    <n v="7860"/>
    <n v="0.3"/>
    <n v="2358"/>
    <s v="Repeat Sale"/>
    <s v="Walk in"/>
    <s v="Quarterly"/>
  </r>
  <r>
    <d v="2024-12-18T00:00:00"/>
    <s v="Dec"/>
    <s v="2024"/>
    <s v="Jamal Al Maktoum"/>
    <s v="Individual"/>
    <s v="SEO"/>
    <s v="Copywriting"/>
    <s v="Al Ain"/>
    <n v="10855"/>
    <n v="0.25"/>
    <n v="2713.75"/>
    <s v="Repeat Sale"/>
    <s v="Ads"/>
    <s v="Annual"/>
  </r>
  <r>
    <d v="2024-12-19T00:00:00"/>
    <s v="Dec"/>
    <s v="2024"/>
    <s v="Aetherion Systems"/>
    <s v="Company"/>
    <s v="Social Media"/>
    <s v="Marketing"/>
    <s v="Dubai"/>
    <n v="10077"/>
    <n v="0.3"/>
    <n v="3023.1"/>
    <s v="Repeat Sale"/>
    <s v="Organic"/>
    <s v="Annual"/>
  </r>
  <r>
    <d v="2024-12-24T00:00:00"/>
    <s v="Dec"/>
    <s v="2024"/>
    <s v="Vantoro Enterprises"/>
    <s v="Company"/>
    <s v="App Dev"/>
    <s v="Design"/>
    <s v="Abu Dhabi"/>
    <n v="11309"/>
    <n v="0.4"/>
    <n v="4523.6000000000004"/>
    <s v="Repeat Sale"/>
    <s v="Walk in"/>
    <s v="Quarterly"/>
  </r>
  <r>
    <d v="2024-12-24T00:00:00"/>
    <s v="Dec"/>
    <s v="2024"/>
    <s v="Nexa Core"/>
    <s v="Company"/>
    <s v="Social Media"/>
    <s v="Marketing"/>
    <s v="Dubai"/>
    <n v="9219"/>
    <n v="0.3"/>
    <n v="2765.7"/>
    <s v="Repeat Sale"/>
    <s v="Organic"/>
    <s v="Bi Annual"/>
  </r>
  <r>
    <d v="2024-12-24T00:00:00"/>
    <s v="Dec"/>
    <s v="2024"/>
    <s v="Luminex Global"/>
    <s v="Company"/>
    <s v="Ads"/>
    <s v="Marketing"/>
    <s v="Al Ain"/>
    <n v="7514"/>
    <n v="0.25"/>
    <n v="1878.5"/>
    <s v="Repeat Sale"/>
    <s v="Ads"/>
    <s v="Monthly"/>
  </r>
  <r>
    <d v="2024-12-24T00:00:00"/>
    <s v="Dec"/>
    <s v="2024"/>
    <s v="Tariq Al Zahrani"/>
    <s v="Individual"/>
    <s v="Social Media"/>
    <s v="Marketing"/>
    <s v="Sharjah"/>
    <n v="8803"/>
    <n v="0.3"/>
    <n v="2640.9"/>
    <s v="New Sale"/>
    <s v="Organic"/>
    <s v="Annual"/>
  </r>
  <r>
    <d v="2024-12-25T00:00:00"/>
    <s v="Dec"/>
    <s v="2024"/>
    <s v="InfiNova Technologies"/>
    <s v="Company"/>
    <s v="Web Dev"/>
    <s v="Design"/>
    <s v="Al Ain"/>
    <n v="9148"/>
    <n v="0.35"/>
    <n v="3201.7999999999997"/>
    <s v="New Sale"/>
    <s v="Walk in"/>
    <s v="Annual"/>
  </r>
  <r>
    <d v="2024-12-27T00:00:00"/>
    <s v="Dec"/>
    <s v="2024"/>
    <s v="Zayed Al Nuaimi"/>
    <s v="Individual"/>
    <s v="Web Dev"/>
    <s v="Design"/>
    <s v="Al Ain"/>
    <n v="8041"/>
    <n v="0.35"/>
    <n v="2814.35"/>
    <s v="Repeat Sale"/>
    <s v="Walk in"/>
    <s v="Bi Annual"/>
  </r>
  <r>
    <d v="2024-12-27T00:00:00"/>
    <s v="Dec"/>
    <s v="2024"/>
    <s v="Mona Al Humaidi"/>
    <s v="Individual"/>
    <s v="App Dev"/>
    <s v="Design"/>
    <s v="Ajman"/>
    <n v="11892"/>
    <n v="0.4"/>
    <n v="4756.8"/>
    <s v="Repeat Sale"/>
    <s v="Organic"/>
    <s v="Monthly"/>
  </r>
  <r>
    <d v="2024-12-28T00:00:00"/>
    <s v="Dec"/>
    <s v="2024"/>
    <s v="Ahmed Yousuf"/>
    <s v="Individual"/>
    <s v="Web Dev"/>
    <s v="Design"/>
    <s v="Dubai"/>
    <n v="12054"/>
    <n v="0.35"/>
    <n v="4218.8999999999996"/>
    <s v="Repeat Sale"/>
    <s v="Organic"/>
    <s v="Bi Annual"/>
  </r>
  <r>
    <d v="2024-12-31T00:00:00"/>
    <s v="Dec"/>
    <s v="2024"/>
    <s v="InfiNova Technologies"/>
    <s v="Company"/>
    <s v="Web Dev"/>
    <s v="Design"/>
    <s v="Ajman"/>
    <n v="11701"/>
    <n v="0.35"/>
    <n v="4095.35"/>
    <s v="Repeat Sale"/>
    <s v="Walk in"/>
    <s v="Quarterl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2B3619-B873-4A9C-8084-65D604FA9DA0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A2" firstHeaderRow="1" firstDataRow="1" firstDataCol="0"/>
  <pivotFields count="14">
    <pivotField numFmtId="164"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6" showAll="0"/>
    <pivotField numFmtId="167" showAll="0"/>
    <pivotField showAll="0"/>
    <pivotField showAll="0"/>
    <pivotField showAll="0"/>
  </pivotFields>
  <rowItems count="1">
    <i/>
  </rowItems>
  <colItems count="1">
    <i/>
  </colItems>
  <dataFields count="1">
    <dataField name="Average of Sales Amount" fld="8" subtotal="average" baseField="0" baseItem="0" numFmtId="169"/>
  </dataFields>
  <formats count="1">
    <format dxfId="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 2" cacheId="11" applyNumberFormats="0" applyBorderFormats="0" applyFontFormats="0" applyPatternFormats="0" applyAlignmentFormats="0" applyWidthHeightFormats="0" dataCaption="" updatedVersion="8" compact="0" compactData="0">
  <location ref="A5:A6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Margin Amount" fld="10" baseField="0" numFmtId="169"/>
  </dataFields>
  <formats count="1"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2CA140-1D4A-4F6C-98CB-BEEDB49CA057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66:F77" firstHeaderRow="1" firstDataRow="1" firstDataCol="1"/>
  <pivotFields count="2">
    <pivotField axis="axisRow" showAll="0">
      <items count="11">
        <item x="3"/>
        <item x="1"/>
        <item x="5"/>
        <item x="7"/>
        <item x="6"/>
        <item x="2"/>
        <item x="4"/>
        <item x="8"/>
        <item x="9"/>
        <item x="0"/>
        <item t="default"/>
      </items>
    </pivotField>
    <pivotField dataField="1" numFmtId="165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Sum of Sales Amount" fld="1" baseField="0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" cacheId="11" applyNumberFormats="0" applyBorderFormats="0" applyFontFormats="0" applyPatternFormats="0" applyAlignmentFormats="0" applyWidthHeightFormats="0" dataCaption="" updatedVersion="8" compact="0" compactData="0">
  <location ref="A1:A2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Sales Amount2" fld="8" baseField="0" baseItem="0" numFmtId="169"/>
  </dataFields>
  <formats count="1">
    <format dxfId="2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Pivot 9" cacheId="11" applyNumberFormats="0" applyBorderFormats="0" applyFontFormats="0" applyPatternFormats="0" applyAlignmentFormats="0" applyWidthHeightFormats="0" dataCaption="" updatedVersion="8" compact="0" compactData="0" chartFormat="14">
  <location ref="A115:E143" firstHeaderRow="1" firstDataRow="2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Col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Sales Amount" fld="8" baseField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 7" cacheId="11" applyNumberFormats="0" applyBorderFormats="0" applyFontFormats="0" applyPatternFormats="0" applyAlignmentFormats="0" applyWidthHeightFormats="0" dataCaption="" updatedVersion="8" compact="0" compactData="0" chartFormat="9">
  <location ref="A99:B105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axis="axisRow" compact="0" outline="0" multipleItemSelectionAllowed="1" showAll="0" sortType="ascending">
      <items count="6">
        <item x="1"/>
        <item x="2"/>
        <item x="4"/>
        <item x="0"/>
        <item x="3"/>
        <item t="default"/>
      </items>
    </pivotField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Pivot 5" cacheId="11" applyNumberFormats="0" applyBorderFormats="0" applyFontFormats="0" applyPatternFormats="0" applyAlignmentFormats="0" applyWidthHeightFormats="0" dataCaption="" updatedVersion="8" compact="0" compactData="0" chartFormat="21">
  <location ref="A47:E51" firstHeaderRow="1" firstDataRow="2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axis="axisCol" compact="0" outline="0" multipleItemSelectionAllowed="1" showAll="0" sortType="ascending">
      <items count="4">
        <item x="1"/>
        <item x="2"/>
        <item x="0"/>
        <item t="default"/>
      </items>
    </pivotField>
    <pivotField name="Package _x000a_Type" compact="0" outline="0" multipleItemSelectionAllowed="1" showAll="0"/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4">
    <i>
      <x/>
    </i>
    <i>
      <x v="1"/>
    </i>
    <i>
      <x v="2"/>
    </i>
    <i t="grand">
      <x/>
    </i>
  </colItems>
  <dataFields count="1">
    <dataField name="Sum of Sales Amount" fld="8" showDataAs="percentOfRow" baseField="0" numFmtId="1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 4" cacheId="11" applyNumberFormats="0" applyBorderFormats="0" applyFontFormats="0" applyPatternFormats="0" applyAlignmentFormats="0" applyWidthHeightFormats="0" dataCaption="" updatedVersion="8" compact="0" compactData="0" chartFormat="11">
  <location ref="A17:C44" firstHeaderRow="1" firstDataRow="1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Items count="1">
    <i/>
  </colItems>
  <dataFields count="1">
    <dataField name="Sum of Sales Amount" fld="8" baseField="0"/>
  </dataField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8000000}" name="Pivot 8" cacheId="11" applyNumberFormats="0" applyBorderFormats="0" applyFontFormats="0" applyPatternFormats="0" applyAlignmentFormats="0" applyWidthHeightFormats="0" dataCaption="" updatedVersion="8" compact="0" compactData="0" chartFormat="7">
  <location ref="A108:B112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axis="axisRow" compact="0" outline="0" multipleItemSelectionAllowed="1" showAll="0" sortType="ascending">
      <items count="4">
        <item x="2"/>
        <item x="1"/>
        <item x="0"/>
        <item t="default"/>
      </items>
    </pivotField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argin Amount" fld="10" showDataAs="percentOfCol" baseField="0" numFmtId="10"/>
  </dataField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 6" cacheId="11" applyNumberFormats="0" applyBorderFormats="0" applyFontFormats="0" applyPatternFormats="0" applyAlignmentFormats="0" applyWidthHeightFormats="0" dataCaption="" updatedVersion="8" compact="0" compactData="0" chartFormat="5">
  <location ref="A54:B60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axis="axisRow" compact="0" outline="0" multipleItemSelectionAllowed="1" showAll="0" sortType="ascending">
      <items count="6">
        <item x="3"/>
        <item x="1"/>
        <item x="0"/>
        <item x="2"/>
        <item x="4"/>
        <item t="default"/>
      </items>
    </pivotField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showDataAs="percentOfCol" baseField="0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 3" cacheId="11" applyNumberFormats="0" applyBorderFormats="0" applyFontFormats="0" applyPatternFormats="0" applyAlignmentFormats="0" applyWidthHeightFormats="0" dataCaption="" updatedVersion="8" compact="0" compactData="0" chartFormat="4">
  <location ref="A11:B14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dataField="1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Row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ount of Customer Name" fld="3" subtotal="count" baseField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481">
  <tableColumns count="14">
    <tableColumn id="1" xr3:uid="{00000000-0010-0000-0000-000001000000}" name="Date"/>
    <tableColumn id="2" xr3:uid="{00000000-0010-0000-0000-000002000000}" name="Month"/>
    <tableColumn id="3" xr3:uid="{00000000-0010-0000-0000-000003000000}" name="Year"/>
    <tableColumn id="4" xr3:uid="{00000000-0010-0000-0000-000004000000}" name="Customer Name"/>
    <tableColumn id="5" xr3:uid="{00000000-0010-0000-0000-000005000000}" name="Customer Type"/>
    <tableColumn id="6" xr3:uid="{00000000-0010-0000-0000-000006000000}" name="Service"/>
    <tableColumn id="7" xr3:uid="{00000000-0010-0000-0000-000007000000}" name="Department"/>
    <tableColumn id="8" xr3:uid="{00000000-0010-0000-0000-000008000000}" name="City"/>
    <tableColumn id="9" xr3:uid="{00000000-0010-0000-0000-000009000000}" name="Sales Amount"/>
    <tableColumn id="10" xr3:uid="{00000000-0010-0000-0000-00000A000000}" name="Margin _x000a_%"/>
    <tableColumn id="11" xr3:uid="{00000000-0010-0000-0000-00000B000000}" name="Margin Amount"/>
    <tableColumn id="12" xr3:uid="{00000000-0010-0000-0000-00000C000000}" name="Sale Type"/>
    <tableColumn id="13" xr3:uid="{00000000-0010-0000-0000-00000D000000}" name="Customer Source"/>
    <tableColumn id="14" xr3:uid="{00000000-0010-0000-0000-00000E000000}" name="Package _x000a_Type"/>
  </tableColumns>
  <tableStyleInfo name="Da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B9787A-D5B0-4179-842A-027BEA2D6161}" name="Table2" displayName="Table2" ref="A3:N483" totalsRowShown="0">
  <autoFilter ref="A3:N483" xr:uid="{29B9787A-D5B0-4179-842A-027BEA2D6161}"/>
  <tableColumns count="14">
    <tableColumn id="1" xr3:uid="{578E5C96-63FD-4E37-8ECE-149AD9995906}" name="Date" dataDxfId="3"/>
    <tableColumn id="2" xr3:uid="{0F07DBAA-B12C-40DF-AB84-E78B0BB0610B}" name="Month"/>
    <tableColumn id="3" xr3:uid="{20585C6F-AA34-4432-90FB-31AD2ADDB696}" name="Year"/>
    <tableColumn id="4" xr3:uid="{4FE145D1-0B68-445D-BFB7-277C8037E613}" name="Customer Name"/>
    <tableColumn id="5" xr3:uid="{DC1BE969-C4F8-41A4-92EC-115C0BECD3C9}" name="Customer Type"/>
    <tableColumn id="6" xr3:uid="{B1464F83-5D27-4852-ACB1-FF2461287116}" name="Service"/>
    <tableColumn id="7" xr3:uid="{3B6C7696-ED92-49DF-8A4D-7A758789F879}" name="Department"/>
    <tableColumn id="8" xr3:uid="{985C4DAC-B515-413A-91A9-E131BAB76FB0}" name="City"/>
    <tableColumn id="9" xr3:uid="{1EB0FCA1-EBB4-4101-BA60-DCA43A288D07}" name="Sales Amount"/>
    <tableColumn id="10" xr3:uid="{440970FA-2DB5-43F2-B375-00AAF8C1BAF4}" name="Margin _x000a_%"/>
    <tableColumn id="11" xr3:uid="{16077797-B6F5-4DBF-A9CC-2DB21D0864A5}" name="Margin Amount"/>
    <tableColumn id="12" xr3:uid="{2E3C950C-023B-4C3F-8042-B8DA1F5A7089}" name="Sale Type"/>
    <tableColumn id="13" xr3:uid="{318B1E0B-F7B1-40F5-8CBE-4301D0009A46}" name="Customer Source"/>
    <tableColumn id="14" xr3:uid="{99B2A8BB-240A-4E77-AC29-D883B32B0013}" name="Package _x000a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254F4-D17A-47FE-BF97-D326D081F8EE}">
  <dimension ref="A1:A2"/>
  <sheetViews>
    <sheetView workbookViewId="0">
      <selection activeCell="A10" sqref="A10"/>
    </sheetView>
  </sheetViews>
  <sheetFormatPr defaultRowHeight="14.4" x14ac:dyDescent="0.3"/>
  <cols>
    <col min="1" max="1" width="21.5546875" bestFit="1" customWidth="1"/>
  </cols>
  <sheetData>
    <row r="1" spans="1:1" x14ac:dyDescent="0.3">
      <c r="A1" s="26" t="s">
        <v>95</v>
      </c>
    </row>
    <row r="2" spans="1:1" x14ac:dyDescent="0.3">
      <c r="A2" s="64">
        <v>6362.9250000000002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93C7D-BA6B-41A6-95A6-D40942C7EADE}">
  <dimension ref="B2:AB33"/>
  <sheetViews>
    <sheetView showGridLines="0" tabSelected="1" zoomScale="73" workbookViewId="0">
      <selection activeCell="A24" sqref="A24"/>
    </sheetView>
  </sheetViews>
  <sheetFormatPr defaultRowHeight="14.4" x14ac:dyDescent="0.3"/>
  <cols>
    <col min="3" max="3" width="17.109375" bestFit="1" customWidth="1"/>
    <col min="5" max="5" width="8.88671875" customWidth="1"/>
  </cols>
  <sheetData>
    <row r="2" spans="2:28" x14ac:dyDescent="0.3"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</row>
    <row r="3" spans="2:28" x14ac:dyDescent="0.3"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2:28" x14ac:dyDescent="0.3"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</row>
    <row r="7" spans="2:28" ht="28.8" x14ac:dyDescent="0.55000000000000004">
      <c r="E7" s="51"/>
    </row>
    <row r="33" spans="13:13" ht="18.600000000000001" x14ac:dyDescent="0.45">
      <c r="M33" s="4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zoomScale="85" workbookViewId="0">
      <pane ySplit="1" topLeftCell="A2" activePane="bottomLeft" state="frozen"/>
      <selection pane="bottomLeft" activeCell="C9" sqref="C9"/>
    </sheetView>
  </sheetViews>
  <sheetFormatPr defaultColWidth="14.44140625" defaultRowHeight="15" customHeight="1" x14ac:dyDescent="0.3"/>
  <cols>
    <col min="1" max="3" width="9.44140625" customWidth="1"/>
    <col min="4" max="4" width="19" customWidth="1"/>
    <col min="5" max="5" width="14.88671875" customWidth="1"/>
    <col min="6" max="6" width="11.44140625" customWidth="1"/>
    <col min="7" max="7" width="12.109375" customWidth="1"/>
    <col min="8" max="8" width="9.88671875" customWidth="1"/>
    <col min="9" max="9" width="13.6640625" customWidth="1"/>
    <col min="10" max="10" width="10" customWidth="1"/>
    <col min="11" max="11" width="14.88671875" customWidth="1"/>
    <col min="12" max="12" width="10.6640625" customWidth="1"/>
    <col min="13" max="13" width="16.5546875" customWidth="1"/>
    <col min="14" max="14" width="8.44140625" customWidth="1"/>
    <col min="15" max="15" width="9.109375" customWidth="1"/>
    <col min="16" max="26" width="8.6640625" customWidth="1"/>
  </cols>
  <sheetData>
    <row r="1" spans="1:26" ht="16.5" customHeigh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4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customHeight="1" x14ac:dyDescent="0.3">
      <c r="A2" s="5">
        <v>44927</v>
      </c>
      <c r="B2" s="6" t="s">
        <v>14</v>
      </c>
      <c r="C2" s="6" t="s">
        <v>15</v>
      </c>
      <c r="D2" s="7" t="s">
        <v>16</v>
      </c>
      <c r="E2" s="6" t="s">
        <v>17</v>
      </c>
      <c r="F2" s="8" t="s">
        <v>18</v>
      </c>
      <c r="G2" s="8" t="str">
        <f t="shared" ref="G2:G256" si="0">IF(OR(F2="Web Dev", F2="App Dev"), "Design", IF(F2="SEO", "Copywriting", IF(OR(F2="Social Media", F2="Ads"), "Marketing", "")))</f>
        <v>Marketing</v>
      </c>
      <c r="H2" s="8" t="s">
        <v>19</v>
      </c>
      <c r="I2" s="9">
        <v>3125</v>
      </c>
      <c r="J2" s="10">
        <v>0.3</v>
      </c>
      <c r="K2" s="11">
        <f t="shared" ref="K2:K256" si="1">I2*J2</f>
        <v>937.5</v>
      </c>
      <c r="L2" s="6" t="s">
        <v>20</v>
      </c>
      <c r="M2" s="6" t="s">
        <v>21</v>
      </c>
      <c r="N2" s="6" t="s">
        <v>22</v>
      </c>
      <c r="O2" s="3"/>
      <c r="P2" s="4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6.5" customHeight="1" x14ac:dyDescent="0.3">
      <c r="A3" s="5">
        <v>44927</v>
      </c>
      <c r="B3" s="6" t="s">
        <v>14</v>
      </c>
      <c r="C3" s="6" t="s">
        <v>15</v>
      </c>
      <c r="D3" s="7" t="s">
        <v>23</v>
      </c>
      <c r="E3" s="6" t="s">
        <v>24</v>
      </c>
      <c r="F3" s="8" t="s">
        <v>25</v>
      </c>
      <c r="G3" s="8" t="str">
        <f t="shared" si="0"/>
        <v>Marketing</v>
      </c>
      <c r="H3" s="8" t="s">
        <v>26</v>
      </c>
      <c r="I3" s="9">
        <v>3635</v>
      </c>
      <c r="J3" s="10">
        <v>0.25</v>
      </c>
      <c r="K3" s="11">
        <f t="shared" si="1"/>
        <v>908.75</v>
      </c>
      <c r="L3" s="6" t="s">
        <v>27</v>
      </c>
      <c r="M3" s="6" t="s">
        <v>25</v>
      </c>
      <c r="N3" s="6" t="s">
        <v>22</v>
      </c>
      <c r="O3" s="3"/>
      <c r="P3" s="4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6.5" customHeight="1" x14ac:dyDescent="0.3">
      <c r="A4" s="5">
        <v>44927</v>
      </c>
      <c r="B4" s="6" t="s">
        <v>14</v>
      </c>
      <c r="C4" s="6" t="s">
        <v>15</v>
      </c>
      <c r="D4" s="7" t="s">
        <v>28</v>
      </c>
      <c r="E4" s="6" t="s">
        <v>24</v>
      </c>
      <c r="F4" s="8" t="s">
        <v>18</v>
      </c>
      <c r="G4" s="8" t="str">
        <f t="shared" si="0"/>
        <v>Marketing</v>
      </c>
      <c r="H4" s="8" t="s">
        <v>29</v>
      </c>
      <c r="I4" s="9">
        <v>3291</v>
      </c>
      <c r="J4" s="10">
        <v>0.3</v>
      </c>
      <c r="K4" s="11">
        <f t="shared" si="1"/>
        <v>987.3</v>
      </c>
      <c r="L4" s="6" t="s">
        <v>20</v>
      </c>
      <c r="M4" s="6" t="s">
        <v>25</v>
      </c>
      <c r="N4" s="6" t="s">
        <v>30</v>
      </c>
      <c r="O4" s="3"/>
      <c r="P4" s="4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6.5" customHeight="1" x14ac:dyDescent="0.3">
      <c r="A5" s="5">
        <v>44928</v>
      </c>
      <c r="B5" s="6" t="s">
        <v>14</v>
      </c>
      <c r="C5" s="6" t="s">
        <v>15</v>
      </c>
      <c r="D5" s="7" t="s">
        <v>31</v>
      </c>
      <c r="E5" s="6" t="s">
        <v>24</v>
      </c>
      <c r="F5" s="8" t="s">
        <v>32</v>
      </c>
      <c r="G5" s="8" t="str">
        <f t="shared" si="0"/>
        <v>Design</v>
      </c>
      <c r="H5" s="8" t="s">
        <v>33</v>
      </c>
      <c r="I5" s="9">
        <v>3668</v>
      </c>
      <c r="J5" s="10">
        <v>0.4</v>
      </c>
      <c r="K5" s="11">
        <f t="shared" si="1"/>
        <v>1467.2</v>
      </c>
      <c r="L5" s="6" t="s">
        <v>27</v>
      </c>
      <c r="M5" s="6" t="s">
        <v>25</v>
      </c>
      <c r="N5" s="6" t="s">
        <v>34</v>
      </c>
      <c r="O5" s="3"/>
      <c r="P5" s="4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customHeight="1" x14ac:dyDescent="0.3">
      <c r="A6" s="5">
        <v>44933</v>
      </c>
      <c r="B6" s="6" t="s">
        <v>14</v>
      </c>
      <c r="C6" s="6" t="s">
        <v>15</v>
      </c>
      <c r="D6" s="7" t="s">
        <v>35</v>
      </c>
      <c r="E6" s="6" t="s">
        <v>24</v>
      </c>
      <c r="F6" s="8" t="s">
        <v>25</v>
      </c>
      <c r="G6" s="8" t="str">
        <f t="shared" si="0"/>
        <v>Marketing</v>
      </c>
      <c r="H6" s="8" t="s">
        <v>33</v>
      </c>
      <c r="I6" s="9">
        <v>3970</v>
      </c>
      <c r="J6" s="10">
        <v>0.25</v>
      </c>
      <c r="K6" s="11">
        <f t="shared" si="1"/>
        <v>992.5</v>
      </c>
      <c r="L6" s="6" t="s">
        <v>20</v>
      </c>
      <c r="M6" s="6" t="s">
        <v>21</v>
      </c>
      <c r="N6" s="6" t="s">
        <v>34</v>
      </c>
      <c r="O6" s="3"/>
      <c r="P6" s="4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6.5" customHeight="1" x14ac:dyDescent="0.3">
      <c r="A7" s="5">
        <v>44938</v>
      </c>
      <c r="B7" s="6" t="s">
        <v>14</v>
      </c>
      <c r="C7" s="6" t="s">
        <v>15</v>
      </c>
      <c r="D7" s="7" t="s">
        <v>36</v>
      </c>
      <c r="E7" s="6" t="s">
        <v>17</v>
      </c>
      <c r="F7" s="8" t="s">
        <v>18</v>
      </c>
      <c r="G7" s="8" t="str">
        <f t="shared" si="0"/>
        <v>Marketing</v>
      </c>
      <c r="H7" s="8" t="s">
        <v>29</v>
      </c>
      <c r="I7" s="9">
        <v>2739</v>
      </c>
      <c r="J7" s="10">
        <v>0.3</v>
      </c>
      <c r="K7" s="11">
        <f t="shared" si="1"/>
        <v>821.69999999999993</v>
      </c>
      <c r="L7" s="6" t="s">
        <v>27</v>
      </c>
      <c r="M7" s="6" t="s">
        <v>25</v>
      </c>
      <c r="N7" s="6" t="s">
        <v>37</v>
      </c>
      <c r="O7" s="3"/>
      <c r="P7" s="4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6.5" customHeight="1" x14ac:dyDescent="0.3">
      <c r="A8" s="5">
        <v>44938</v>
      </c>
      <c r="B8" s="6" t="s">
        <v>14</v>
      </c>
      <c r="C8" s="6" t="s">
        <v>15</v>
      </c>
      <c r="D8" s="7" t="s">
        <v>38</v>
      </c>
      <c r="E8" s="6" t="s">
        <v>24</v>
      </c>
      <c r="F8" s="8" t="s">
        <v>39</v>
      </c>
      <c r="G8" s="8" t="str">
        <f t="shared" si="0"/>
        <v>Design</v>
      </c>
      <c r="H8" s="8" t="s">
        <v>33</v>
      </c>
      <c r="I8" s="9">
        <v>2420</v>
      </c>
      <c r="J8" s="10">
        <v>0.35</v>
      </c>
      <c r="K8" s="11">
        <f t="shared" si="1"/>
        <v>847</v>
      </c>
      <c r="L8" s="6" t="s">
        <v>20</v>
      </c>
      <c r="M8" s="6" t="s">
        <v>21</v>
      </c>
      <c r="N8" s="6" t="s">
        <v>30</v>
      </c>
      <c r="O8" s="3"/>
      <c r="P8" s="4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 x14ac:dyDescent="0.3">
      <c r="A9" s="5">
        <v>44939</v>
      </c>
      <c r="B9" s="6" t="s">
        <v>14</v>
      </c>
      <c r="C9" s="6" t="s">
        <v>15</v>
      </c>
      <c r="D9" s="7" t="s">
        <v>40</v>
      </c>
      <c r="E9" s="6" t="s">
        <v>17</v>
      </c>
      <c r="F9" s="8" t="s">
        <v>41</v>
      </c>
      <c r="G9" s="8" t="str">
        <f t="shared" si="0"/>
        <v>Copywriting</v>
      </c>
      <c r="H9" s="8" t="s">
        <v>42</v>
      </c>
      <c r="I9" s="9">
        <v>4802</v>
      </c>
      <c r="J9" s="10">
        <v>0.25</v>
      </c>
      <c r="K9" s="11">
        <f t="shared" si="1"/>
        <v>1200.5</v>
      </c>
      <c r="L9" s="6" t="s">
        <v>20</v>
      </c>
      <c r="M9" s="6" t="s">
        <v>21</v>
      </c>
      <c r="N9" s="6" t="s">
        <v>22</v>
      </c>
      <c r="O9" s="3"/>
      <c r="P9" s="4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6.5" customHeight="1" x14ac:dyDescent="0.3">
      <c r="A10" s="5">
        <v>44940</v>
      </c>
      <c r="B10" s="6" t="s">
        <v>14</v>
      </c>
      <c r="C10" s="6" t="s">
        <v>15</v>
      </c>
      <c r="D10" s="7" t="s">
        <v>40</v>
      </c>
      <c r="E10" s="6" t="s">
        <v>17</v>
      </c>
      <c r="F10" s="8" t="s">
        <v>32</v>
      </c>
      <c r="G10" s="8" t="str">
        <f t="shared" si="0"/>
        <v>Design</v>
      </c>
      <c r="H10" s="8" t="s">
        <v>19</v>
      </c>
      <c r="I10" s="9">
        <v>2620</v>
      </c>
      <c r="J10" s="10">
        <v>0.4</v>
      </c>
      <c r="K10" s="11">
        <f t="shared" si="1"/>
        <v>1048</v>
      </c>
      <c r="L10" s="6" t="s">
        <v>27</v>
      </c>
      <c r="M10" s="6" t="s">
        <v>25</v>
      </c>
      <c r="N10" s="6" t="s">
        <v>30</v>
      </c>
      <c r="O10" s="3"/>
      <c r="P10" s="4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6.5" customHeight="1" x14ac:dyDescent="0.3">
      <c r="A11" s="5">
        <v>44942</v>
      </c>
      <c r="B11" s="6" t="s">
        <v>14</v>
      </c>
      <c r="C11" s="6" t="s">
        <v>15</v>
      </c>
      <c r="D11" s="7" t="s">
        <v>43</v>
      </c>
      <c r="E11" s="6" t="s">
        <v>24</v>
      </c>
      <c r="F11" s="8" t="s">
        <v>39</v>
      </c>
      <c r="G11" s="8" t="str">
        <f t="shared" si="0"/>
        <v>Design</v>
      </c>
      <c r="H11" s="8" t="s">
        <v>19</v>
      </c>
      <c r="I11" s="9">
        <v>5593</v>
      </c>
      <c r="J11" s="10">
        <v>0.35</v>
      </c>
      <c r="K11" s="11">
        <f t="shared" si="1"/>
        <v>1957.55</v>
      </c>
      <c r="L11" s="6" t="s">
        <v>20</v>
      </c>
      <c r="M11" s="6" t="s">
        <v>25</v>
      </c>
      <c r="N11" s="6" t="s">
        <v>34</v>
      </c>
      <c r="O11" s="3"/>
      <c r="P11" s="4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6.5" customHeight="1" x14ac:dyDescent="0.3">
      <c r="A12" s="5">
        <v>44944</v>
      </c>
      <c r="B12" s="6" t="s">
        <v>14</v>
      </c>
      <c r="C12" s="6" t="s">
        <v>15</v>
      </c>
      <c r="D12" s="7" t="s">
        <v>40</v>
      </c>
      <c r="E12" s="6" t="s">
        <v>17</v>
      </c>
      <c r="F12" s="8" t="s">
        <v>25</v>
      </c>
      <c r="G12" s="8" t="str">
        <f t="shared" si="0"/>
        <v>Marketing</v>
      </c>
      <c r="H12" s="8" t="s">
        <v>19</v>
      </c>
      <c r="I12" s="9">
        <v>3237</v>
      </c>
      <c r="J12" s="10">
        <v>0.25</v>
      </c>
      <c r="K12" s="11">
        <f t="shared" si="1"/>
        <v>809.25</v>
      </c>
      <c r="L12" s="6" t="s">
        <v>20</v>
      </c>
      <c r="M12" s="6" t="s">
        <v>21</v>
      </c>
      <c r="N12" s="6" t="s">
        <v>34</v>
      </c>
      <c r="O12" s="3"/>
      <c r="P12" s="4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6.5" customHeight="1" x14ac:dyDescent="0.3">
      <c r="A13" s="5">
        <v>44944</v>
      </c>
      <c r="B13" s="6" t="s">
        <v>14</v>
      </c>
      <c r="C13" s="6" t="s">
        <v>15</v>
      </c>
      <c r="D13" s="7" t="s">
        <v>44</v>
      </c>
      <c r="E13" s="6" t="s">
        <v>24</v>
      </c>
      <c r="F13" s="8" t="s">
        <v>18</v>
      </c>
      <c r="G13" s="8" t="str">
        <f t="shared" si="0"/>
        <v>Marketing</v>
      </c>
      <c r="H13" s="8" t="s">
        <v>19</v>
      </c>
      <c r="I13" s="9">
        <v>4985</v>
      </c>
      <c r="J13" s="10">
        <v>0.3</v>
      </c>
      <c r="K13" s="11">
        <f t="shared" si="1"/>
        <v>1495.5</v>
      </c>
      <c r="L13" s="6" t="s">
        <v>20</v>
      </c>
      <c r="M13" s="6" t="s">
        <v>21</v>
      </c>
      <c r="N13" s="6" t="s">
        <v>22</v>
      </c>
      <c r="O13" s="3"/>
      <c r="P13" s="4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6.5" customHeight="1" x14ac:dyDescent="0.3">
      <c r="A14" s="5">
        <v>44945</v>
      </c>
      <c r="B14" s="6" t="s">
        <v>14</v>
      </c>
      <c r="C14" s="6" t="s">
        <v>15</v>
      </c>
      <c r="D14" s="7" t="s">
        <v>45</v>
      </c>
      <c r="E14" s="6" t="s">
        <v>17</v>
      </c>
      <c r="F14" s="8" t="s">
        <v>39</v>
      </c>
      <c r="G14" s="8" t="str">
        <f t="shared" si="0"/>
        <v>Design</v>
      </c>
      <c r="H14" s="8" t="s">
        <v>29</v>
      </c>
      <c r="I14" s="9">
        <v>3886</v>
      </c>
      <c r="J14" s="10">
        <v>0.35</v>
      </c>
      <c r="K14" s="11">
        <f t="shared" si="1"/>
        <v>1360.1</v>
      </c>
      <c r="L14" s="6" t="s">
        <v>20</v>
      </c>
      <c r="M14" s="6" t="s">
        <v>46</v>
      </c>
      <c r="N14" s="6" t="s">
        <v>22</v>
      </c>
      <c r="O14" s="3"/>
      <c r="P14" s="4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6.5" customHeight="1" x14ac:dyDescent="0.3">
      <c r="A15" s="5">
        <v>44945</v>
      </c>
      <c r="B15" s="6" t="s">
        <v>14</v>
      </c>
      <c r="C15" s="6" t="s">
        <v>15</v>
      </c>
      <c r="D15" s="7" t="s">
        <v>47</v>
      </c>
      <c r="E15" s="6" t="s">
        <v>24</v>
      </c>
      <c r="F15" s="8" t="s">
        <v>41</v>
      </c>
      <c r="G15" s="8" t="str">
        <f t="shared" si="0"/>
        <v>Copywriting</v>
      </c>
      <c r="H15" s="8" t="s">
        <v>42</v>
      </c>
      <c r="I15" s="9">
        <v>2585</v>
      </c>
      <c r="J15" s="10">
        <v>0.25</v>
      </c>
      <c r="K15" s="11">
        <f t="shared" si="1"/>
        <v>646.25</v>
      </c>
      <c r="L15" s="6" t="s">
        <v>27</v>
      </c>
      <c r="M15" s="6" t="s">
        <v>25</v>
      </c>
      <c r="N15" s="6" t="s">
        <v>30</v>
      </c>
      <c r="O15" s="3"/>
      <c r="P15" s="4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6.5" customHeight="1" x14ac:dyDescent="0.3">
      <c r="A16" s="5">
        <v>44947</v>
      </c>
      <c r="B16" s="6" t="s">
        <v>14</v>
      </c>
      <c r="C16" s="6" t="s">
        <v>15</v>
      </c>
      <c r="D16" s="7" t="s">
        <v>48</v>
      </c>
      <c r="E16" s="6" t="s">
        <v>17</v>
      </c>
      <c r="F16" s="8" t="s">
        <v>25</v>
      </c>
      <c r="G16" s="8" t="str">
        <f t="shared" si="0"/>
        <v>Marketing</v>
      </c>
      <c r="H16" s="8" t="s">
        <v>19</v>
      </c>
      <c r="I16" s="9">
        <v>4826</v>
      </c>
      <c r="J16" s="10">
        <v>0.25</v>
      </c>
      <c r="K16" s="11">
        <f t="shared" si="1"/>
        <v>1206.5</v>
      </c>
      <c r="L16" s="6" t="s">
        <v>27</v>
      </c>
      <c r="M16" s="6" t="s">
        <v>25</v>
      </c>
      <c r="N16" s="6" t="s">
        <v>22</v>
      </c>
      <c r="O16" s="3"/>
      <c r="P16" s="4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6.5" customHeight="1" x14ac:dyDescent="0.3">
      <c r="A17" s="5">
        <v>44948</v>
      </c>
      <c r="B17" s="6" t="s">
        <v>14</v>
      </c>
      <c r="C17" s="6" t="s">
        <v>15</v>
      </c>
      <c r="D17" s="7" t="s">
        <v>49</v>
      </c>
      <c r="E17" s="6" t="s">
        <v>17</v>
      </c>
      <c r="F17" s="8" t="s">
        <v>32</v>
      </c>
      <c r="G17" s="8" t="str">
        <f t="shared" si="0"/>
        <v>Design</v>
      </c>
      <c r="H17" s="8" t="s">
        <v>26</v>
      </c>
      <c r="I17" s="9">
        <v>2952</v>
      </c>
      <c r="J17" s="10">
        <v>0.4</v>
      </c>
      <c r="K17" s="11">
        <f t="shared" si="1"/>
        <v>1180.8</v>
      </c>
      <c r="L17" s="6" t="s">
        <v>27</v>
      </c>
      <c r="M17" s="6" t="s">
        <v>46</v>
      </c>
      <c r="N17" s="6" t="s">
        <v>30</v>
      </c>
      <c r="O17" s="3"/>
      <c r="P17" s="4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6.5" customHeight="1" x14ac:dyDescent="0.3">
      <c r="A18" s="5">
        <v>44953</v>
      </c>
      <c r="B18" s="6" t="s">
        <v>14</v>
      </c>
      <c r="C18" s="6" t="s">
        <v>15</v>
      </c>
      <c r="D18" s="7" t="s">
        <v>50</v>
      </c>
      <c r="E18" s="6" t="s">
        <v>17</v>
      </c>
      <c r="F18" s="8" t="s">
        <v>32</v>
      </c>
      <c r="G18" s="8" t="str">
        <f t="shared" si="0"/>
        <v>Design</v>
      </c>
      <c r="H18" s="8" t="s">
        <v>33</v>
      </c>
      <c r="I18" s="9">
        <v>3704</v>
      </c>
      <c r="J18" s="10">
        <v>0.4</v>
      </c>
      <c r="K18" s="11">
        <f t="shared" si="1"/>
        <v>1481.6000000000001</v>
      </c>
      <c r="L18" s="6" t="s">
        <v>20</v>
      </c>
      <c r="M18" s="6" t="s">
        <v>25</v>
      </c>
      <c r="N18" s="6" t="s">
        <v>30</v>
      </c>
      <c r="O18" s="3"/>
      <c r="P18" s="4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6.5" customHeight="1" x14ac:dyDescent="0.3">
      <c r="A19" s="5">
        <v>44954</v>
      </c>
      <c r="B19" s="6" t="s">
        <v>14</v>
      </c>
      <c r="C19" s="6" t="s">
        <v>15</v>
      </c>
      <c r="D19" s="7" t="s">
        <v>51</v>
      </c>
      <c r="E19" s="6" t="s">
        <v>24</v>
      </c>
      <c r="F19" s="8" t="s">
        <v>18</v>
      </c>
      <c r="G19" s="8" t="str">
        <f t="shared" si="0"/>
        <v>Marketing</v>
      </c>
      <c r="H19" s="8" t="s">
        <v>29</v>
      </c>
      <c r="I19" s="9">
        <v>3999</v>
      </c>
      <c r="J19" s="10">
        <v>0.3</v>
      </c>
      <c r="K19" s="11">
        <f t="shared" si="1"/>
        <v>1199.7</v>
      </c>
      <c r="L19" s="6" t="s">
        <v>20</v>
      </c>
      <c r="M19" s="6" t="s">
        <v>25</v>
      </c>
      <c r="N19" s="6" t="s">
        <v>34</v>
      </c>
      <c r="O19" s="3"/>
      <c r="P19" s="4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6.5" customHeight="1" x14ac:dyDescent="0.3">
      <c r="A20" s="5">
        <v>44955</v>
      </c>
      <c r="B20" s="6" t="s">
        <v>14</v>
      </c>
      <c r="C20" s="6" t="s">
        <v>15</v>
      </c>
      <c r="D20" s="7" t="s">
        <v>44</v>
      </c>
      <c r="E20" s="6" t="s">
        <v>24</v>
      </c>
      <c r="F20" s="8" t="s">
        <v>39</v>
      </c>
      <c r="G20" s="8" t="str">
        <f t="shared" si="0"/>
        <v>Design</v>
      </c>
      <c r="H20" s="8" t="s">
        <v>29</v>
      </c>
      <c r="I20" s="9">
        <v>3947</v>
      </c>
      <c r="J20" s="10">
        <v>0.35</v>
      </c>
      <c r="K20" s="11">
        <f t="shared" si="1"/>
        <v>1381.4499999999998</v>
      </c>
      <c r="L20" s="6" t="s">
        <v>20</v>
      </c>
      <c r="M20" s="6" t="s">
        <v>25</v>
      </c>
      <c r="N20" s="6" t="s">
        <v>30</v>
      </c>
      <c r="O20" s="3"/>
      <c r="P20" s="4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 x14ac:dyDescent="0.3">
      <c r="A21" s="5">
        <v>44957</v>
      </c>
      <c r="B21" s="6" t="s">
        <v>14</v>
      </c>
      <c r="C21" s="6" t="s">
        <v>15</v>
      </c>
      <c r="D21" s="7" t="s">
        <v>52</v>
      </c>
      <c r="E21" s="6" t="s">
        <v>17</v>
      </c>
      <c r="F21" s="8" t="s">
        <v>39</v>
      </c>
      <c r="G21" s="8" t="str">
        <f t="shared" si="0"/>
        <v>Design</v>
      </c>
      <c r="H21" s="8" t="s">
        <v>33</v>
      </c>
      <c r="I21" s="9">
        <v>5447</v>
      </c>
      <c r="J21" s="10">
        <v>0.35</v>
      </c>
      <c r="K21" s="11">
        <f t="shared" si="1"/>
        <v>1906.4499999999998</v>
      </c>
      <c r="L21" s="6" t="s">
        <v>20</v>
      </c>
      <c r="M21" s="6" t="s">
        <v>25</v>
      </c>
      <c r="N21" s="6" t="s">
        <v>22</v>
      </c>
      <c r="O21" s="3"/>
      <c r="P21" s="4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 x14ac:dyDescent="0.3">
      <c r="A22" s="5">
        <v>44958</v>
      </c>
      <c r="B22" s="6" t="s">
        <v>53</v>
      </c>
      <c r="C22" s="6" t="s">
        <v>15</v>
      </c>
      <c r="D22" s="7" t="s">
        <v>51</v>
      </c>
      <c r="E22" s="6" t="s">
        <v>24</v>
      </c>
      <c r="F22" s="8" t="s">
        <v>25</v>
      </c>
      <c r="G22" s="8" t="str">
        <f t="shared" si="0"/>
        <v>Marketing</v>
      </c>
      <c r="H22" s="8" t="s">
        <v>29</v>
      </c>
      <c r="I22" s="9">
        <v>2811</v>
      </c>
      <c r="J22" s="10">
        <v>0.25</v>
      </c>
      <c r="K22" s="11">
        <f t="shared" si="1"/>
        <v>702.75</v>
      </c>
      <c r="L22" s="6" t="s">
        <v>27</v>
      </c>
      <c r="M22" s="6" t="s">
        <v>46</v>
      </c>
      <c r="N22" s="6" t="s">
        <v>22</v>
      </c>
      <c r="O22" s="3"/>
      <c r="P22" s="4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6.5" customHeight="1" x14ac:dyDescent="0.3">
      <c r="A23" s="5">
        <v>44960</v>
      </c>
      <c r="B23" s="6" t="s">
        <v>53</v>
      </c>
      <c r="C23" s="6" t="s">
        <v>15</v>
      </c>
      <c r="D23" s="7" t="s">
        <v>54</v>
      </c>
      <c r="E23" s="6" t="s">
        <v>17</v>
      </c>
      <c r="F23" s="8" t="s">
        <v>39</v>
      </c>
      <c r="G23" s="8" t="str">
        <f t="shared" si="0"/>
        <v>Design</v>
      </c>
      <c r="H23" s="8" t="s">
        <v>29</v>
      </c>
      <c r="I23" s="9">
        <v>3190</v>
      </c>
      <c r="J23" s="10">
        <v>0.35</v>
      </c>
      <c r="K23" s="11">
        <f t="shared" si="1"/>
        <v>1116.5</v>
      </c>
      <c r="L23" s="6" t="s">
        <v>20</v>
      </c>
      <c r="M23" s="6" t="s">
        <v>21</v>
      </c>
      <c r="N23" s="6" t="s">
        <v>34</v>
      </c>
      <c r="O23" s="3"/>
      <c r="P23" s="4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6.5" customHeight="1" x14ac:dyDescent="0.3">
      <c r="A24" s="5">
        <v>44962</v>
      </c>
      <c r="B24" s="6" t="s">
        <v>53</v>
      </c>
      <c r="C24" s="6" t="s">
        <v>15</v>
      </c>
      <c r="D24" s="7" t="s">
        <v>40</v>
      </c>
      <c r="E24" s="6" t="s">
        <v>17</v>
      </c>
      <c r="F24" s="8" t="s">
        <v>39</v>
      </c>
      <c r="G24" s="8" t="str">
        <f t="shared" si="0"/>
        <v>Design</v>
      </c>
      <c r="H24" s="8" t="s">
        <v>19</v>
      </c>
      <c r="I24" s="9">
        <v>4578</v>
      </c>
      <c r="J24" s="10">
        <v>0.35</v>
      </c>
      <c r="K24" s="11">
        <f t="shared" si="1"/>
        <v>1602.3</v>
      </c>
      <c r="L24" s="6" t="s">
        <v>20</v>
      </c>
      <c r="M24" s="6" t="s">
        <v>46</v>
      </c>
      <c r="N24" s="6" t="s">
        <v>37</v>
      </c>
      <c r="O24" s="3"/>
      <c r="P24" s="4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6.5" customHeight="1" x14ac:dyDescent="0.3">
      <c r="A25" s="5">
        <v>44962</v>
      </c>
      <c r="B25" s="6" t="s">
        <v>53</v>
      </c>
      <c r="C25" s="6" t="s">
        <v>15</v>
      </c>
      <c r="D25" s="7" t="s">
        <v>55</v>
      </c>
      <c r="E25" s="6" t="s">
        <v>24</v>
      </c>
      <c r="F25" s="8" t="s">
        <v>39</v>
      </c>
      <c r="G25" s="8" t="str">
        <f t="shared" si="0"/>
        <v>Design</v>
      </c>
      <c r="H25" s="8" t="s">
        <v>42</v>
      </c>
      <c r="I25" s="9">
        <v>3168</v>
      </c>
      <c r="J25" s="10">
        <v>0.35</v>
      </c>
      <c r="K25" s="11">
        <f t="shared" si="1"/>
        <v>1108.8</v>
      </c>
      <c r="L25" s="6" t="s">
        <v>20</v>
      </c>
      <c r="M25" s="6" t="s">
        <v>46</v>
      </c>
      <c r="N25" s="6" t="s">
        <v>22</v>
      </c>
      <c r="O25" s="3"/>
      <c r="P25" s="4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6.5" customHeight="1" x14ac:dyDescent="0.3">
      <c r="A26" s="5">
        <v>44966</v>
      </c>
      <c r="B26" s="6" t="s">
        <v>53</v>
      </c>
      <c r="C26" s="6" t="s">
        <v>15</v>
      </c>
      <c r="D26" s="7" t="s">
        <v>56</v>
      </c>
      <c r="E26" s="6" t="s">
        <v>17</v>
      </c>
      <c r="F26" s="8" t="s">
        <v>41</v>
      </c>
      <c r="G26" s="8" t="str">
        <f t="shared" si="0"/>
        <v>Copywriting</v>
      </c>
      <c r="H26" s="8" t="s">
        <v>29</v>
      </c>
      <c r="I26" s="9">
        <v>5585</v>
      </c>
      <c r="J26" s="10">
        <v>0.25</v>
      </c>
      <c r="K26" s="11">
        <f t="shared" si="1"/>
        <v>1396.25</v>
      </c>
      <c r="L26" s="6" t="s">
        <v>20</v>
      </c>
      <c r="M26" s="6" t="s">
        <v>25</v>
      </c>
      <c r="N26" s="6" t="s">
        <v>34</v>
      </c>
      <c r="O26" s="3"/>
      <c r="P26" s="4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6.5" customHeight="1" x14ac:dyDescent="0.3">
      <c r="A27" s="5">
        <v>44970</v>
      </c>
      <c r="B27" s="6" t="s">
        <v>53</v>
      </c>
      <c r="C27" s="6" t="s">
        <v>15</v>
      </c>
      <c r="D27" s="7" t="s">
        <v>49</v>
      </c>
      <c r="E27" s="6" t="s">
        <v>17</v>
      </c>
      <c r="F27" s="8" t="s">
        <v>39</v>
      </c>
      <c r="G27" s="8" t="str">
        <f t="shared" si="0"/>
        <v>Design</v>
      </c>
      <c r="H27" s="8" t="s">
        <v>29</v>
      </c>
      <c r="I27" s="9">
        <v>3445</v>
      </c>
      <c r="J27" s="10">
        <v>0.35</v>
      </c>
      <c r="K27" s="11">
        <f t="shared" si="1"/>
        <v>1205.75</v>
      </c>
      <c r="L27" s="6" t="s">
        <v>20</v>
      </c>
      <c r="M27" s="6" t="s">
        <v>46</v>
      </c>
      <c r="N27" s="6" t="s">
        <v>22</v>
      </c>
      <c r="O27" s="3"/>
      <c r="P27" s="4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6.5" customHeight="1" x14ac:dyDescent="0.3">
      <c r="A28" s="5">
        <v>44971</v>
      </c>
      <c r="B28" s="6" t="s">
        <v>53</v>
      </c>
      <c r="C28" s="6" t="s">
        <v>15</v>
      </c>
      <c r="D28" s="7" t="s">
        <v>36</v>
      </c>
      <c r="E28" s="6" t="s">
        <v>17</v>
      </c>
      <c r="F28" s="8" t="s">
        <v>18</v>
      </c>
      <c r="G28" s="8" t="str">
        <f t="shared" si="0"/>
        <v>Marketing</v>
      </c>
      <c r="H28" s="8" t="s">
        <v>29</v>
      </c>
      <c r="I28" s="9">
        <v>2513</v>
      </c>
      <c r="J28" s="10">
        <v>0.3</v>
      </c>
      <c r="K28" s="11">
        <f t="shared" si="1"/>
        <v>753.9</v>
      </c>
      <c r="L28" s="6" t="s">
        <v>27</v>
      </c>
      <c r="M28" s="6" t="s">
        <v>46</v>
      </c>
      <c r="N28" s="6" t="s">
        <v>37</v>
      </c>
      <c r="O28" s="3"/>
      <c r="P28" s="4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6.5" customHeight="1" x14ac:dyDescent="0.3">
      <c r="A29" s="5">
        <v>44971</v>
      </c>
      <c r="B29" s="6" t="s">
        <v>53</v>
      </c>
      <c r="C29" s="6" t="s">
        <v>15</v>
      </c>
      <c r="D29" s="7" t="s">
        <v>43</v>
      </c>
      <c r="E29" s="6" t="s">
        <v>24</v>
      </c>
      <c r="F29" s="8" t="s">
        <v>32</v>
      </c>
      <c r="G29" s="8" t="str">
        <f t="shared" si="0"/>
        <v>Design</v>
      </c>
      <c r="H29" s="8" t="s">
        <v>33</v>
      </c>
      <c r="I29" s="9">
        <v>3799</v>
      </c>
      <c r="J29" s="10">
        <v>0.4</v>
      </c>
      <c r="K29" s="11">
        <f t="shared" si="1"/>
        <v>1519.6000000000001</v>
      </c>
      <c r="L29" s="6" t="s">
        <v>27</v>
      </c>
      <c r="M29" s="6" t="s">
        <v>21</v>
      </c>
      <c r="N29" s="6" t="s">
        <v>22</v>
      </c>
      <c r="O29" s="3"/>
      <c r="P29" s="4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6.5" customHeight="1" x14ac:dyDescent="0.3">
      <c r="A30" s="5">
        <v>44972</v>
      </c>
      <c r="B30" s="6" t="s">
        <v>53</v>
      </c>
      <c r="C30" s="6" t="s">
        <v>15</v>
      </c>
      <c r="D30" s="7" t="s">
        <v>51</v>
      </c>
      <c r="E30" s="6" t="s">
        <v>24</v>
      </c>
      <c r="F30" s="8" t="s">
        <v>32</v>
      </c>
      <c r="G30" s="8" t="str">
        <f t="shared" si="0"/>
        <v>Design</v>
      </c>
      <c r="H30" s="8" t="s">
        <v>29</v>
      </c>
      <c r="I30" s="9">
        <v>4170</v>
      </c>
      <c r="J30" s="10">
        <v>0.4</v>
      </c>
      <c r="K30" s="11">
        <f t="shared" si="1"/>
        <v>1668</v>
      </c>
      <c r="L30" s="6" t="s">
        <v>27</v>
      </c>
      <c r="M30" s="6" t="s">
        <v>25</v>
      </c>
      <c r="N30" s="6" t="s">
        <v>37</v>
      </c>
      <c r="O30" s="3"/>
      <c r="P30" s="4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6.5" customHeight="1" x14ac:dyDescent="0.3">
      <c r="A31" s="5">
        <v>44972</v>
      </c>
      <c r="B31" s="6" t="s">
        <v>53</v>
      </c>
      <c r="C31" s="6" t="s">
        <v>15</v>
      </c>
      <c r="D31" s="7" t="s">
        <v>47</v>
      </c>
      <c r="E31" s="6" t="s">
        <v>24</v>
      </c>
      <c r="F31" s="8" t="s">
        <v>32</v>
      </c>
      <c r="G31" s="8" t="str">
        <f t="shared" si="0"/>
        <v>Design</v>
      </c>
      <c r="H31" s="8" t="s">
        <v>33</v>
      </c>
      <c r="I31" s="9">
        <v>2951</v>
      </c>
      <c r="J31" s="10">
        <v>0.4</v>
      </c>
      <c r="K31" s="11">
        <f t="shared" si="1"/>
        <v>1180.4000000000001</v>
      </c>
      <c r="L31" s="6" t="s">
        <v>20</v>
      </c>
      <c r="M31" s="6" t="s">
        <v>25</v>
      </c>
      <c r="N31" s="6" t="s">
        <v>30</v>
      </c>
      <c r="O31" s="3"/>
      <c r="P31" s="4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6.5" customHeight="1" x14ac:dyDescent="0.3">
      <c r="A32" s="5">
        <v>44974</v>
      </c>
      <c r="B32" s="6" t="s">
        <v>53</v>
      </c>
      <c r="C32" s="6" t="s">
        <v>15</v>
      </c>
      <c r="D32" s="7" t="s">
        <v>45</v>
      </c>
      <c r="E32" s="6" t="s">
        <v>17</v>
      </c>
      <c r="F32" s="8" t="s">
        <v>41</v>
      </c>
      <c r="G32" s="8" t="str">
        <f t="shared" si="0"/>
        <v>Copywriting</v>
      </c>
      <c r="H32" s="8" t="s">
        <v>26</v>
      </c>
      <c r="I32" s="9">
        <v>3425</v>
      </c>
      <c r="J32" s="10">
        <v>0.25</v>
      </c>
      <c r="K32" s="11">
        <f t="shared" si="1"/>
        <v>856.25</v>
      </c>
      <c r="L32" s="6" t="s">
        <v>27</v>
      </c>
      <c r="M32" s="6" t="s">
        <v>25</v>
      </c>
      <c r="N32" s="6" t="s">
        <v>22</v>
      </c>
      <c r="O32" s="3"/>
      <c r="P32" s="4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6.5" customHeight="1" x14ac:dyDescent="0.3">
      <c r="A33" s="5">
        <v>44976</v>
      </c>
      <c r="B33" s="6" t="s">
        <v>53</v>
      </c>
      <c r="C33" s="6" t="s">
        <v>15</v>
      </c>
      <c r="D33" s="7" t="s">
        <v>57</v>
      </c>
      <c r="E33" s="6" t="s">
        <v>24</v>
      </c>
      <c r="F33" s="8" t="s">
        <v>39</v>
      </c>
      <c r="G33" s="8" t="str">
        <f t="shared" si="0"/>
        <v>Design</v>
      </c>
      <c r="H33" s="8" t="s">
        <v>33</v>
      </c>
      <c r="I33" s="9">
        <v>5517</v>
      </c>
      <c r="J33" s="10">
        <v>0.35</v>
      </c>
      <c r="K33" s="11">
        <f t="shared" si="1"/>
        <v>1930.9499999999998</v>
      </c>
      <c r="L33" s="6" t="s">
        <v>20</v>
      </c>
      <c r="M33" s="6" t="s">
        <v>21</v>
      </c>
      <c r="N33" s="6" t="s">
        <v>30</v>
      </c>
      <c r="O33" s="3"/>
      <c r="P33" s="4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 customHeight="1" x14ac:dyDescent="0.3">
      <c r="A34" s="5">
        <v>44977</v>
      </c>
      <c r="B34" s="6" t="s">
        <v>53</v>
      </c>
      <c r="C34" s="6" t="s">
        <v>15</v>
      </c>
      <c r="D34" s="7" t="s">
        <v>40</v>
      </c>
      <c r="E34" s="6" t="s">
        <v>17</v>
      </c>
      <c r="F34" s="8" t="s">
        <v>41</v>
      </c>
      <c r="G34" s="8" t="str">
        <f t="shared" si="0"/>
        <v>Copywriting</v>
      </c>
      <c r="H34" s="8" t="s">
        <v>29</v>
      </c>
      <c r="I34" s="9">
        <v>4948</v>
      </c>
      <c r="J34" s="10">
        <v>0.25</v>
      </c>
      <c r="K34" s="11">
        <f t="shared" si="1"/>
        <v>1237</v>
      </c>
      <c r="L34" s="6" t="s">
        <v>27</v>
      </c>
      <c r="M34" s="6" t="s">
        <v>25</v>
      </c>
      <c r="N34" s="6" t="s">
        <v>30</v>
      </c>
      <c r="O34" s="3"/>
      <c r="P34" s="4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6.5" customHeight="1" x14ac:dyDescent="0.3">
      <c r="A35" s="5">
        <v>44979</v>
      </c>
      <c r="B35" s="6" t="s">
        <v>53</v>
      </c>
      <c r="C35" s="6" t="s">
        <v>15</v>
      </c>
      <c r="D35" s="7" t="s">
        <v>44</v>
      </c>
      <c r="E35" s="6" t="s">
        <v>24</v>
      </c>
      <c r="F35" s="8" t="s">
        <v>18</v>
      </c>
      <c r="G35" s="8" t="str">
        <f t="shared" si="0"/>
        <v>Marketing</v>
      </c>
      <c r="H35" s="8" t="s">
        <v>33</v>
      </c>
      <c r="I35" s="9">
        <v>5592</v>
      </c>
      <c r="J35" s="10">
        <v>0.3</v>
      </c>
      <c r="K35" s="11">
        <f t="shared" si="1"/>
        <v>1677.6</v>
      </c>
      <c r="L35" s="6" t="s">
        <v>27</v>
      </c>
      <c r="M35" s="6" t="s">
        <v>46</v>
      </c>
      <c r="N35" s="6" t="s">
        <v>22</v>
      </c>
      <c r="O35" s="3"/>
      <c r="P35" s="4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6.5" customHeight="1" x14ac:dyDescent="0.3">
      <c r="A36" s="5">
        <v>44979</v>
      </c>
      <c r="B36" s="6" t="s">
        <v>53</v>
      </c>
      <c r="C36" s="6" t="s">
        <v>15</v>
      </c>
      <c r="D36" s="7" t="s">
        <v>58</v>
      </c>
      <c r="E36" s="6" t="s">
        <v>24</v>
      </c>
      <c r="F36" s="8" t="s">
        <v>25</v>
      </c>
      <c r="G36" s="8" t="str">
        <f t="shared" si="0"/>
        <v>Marketing</v>
      </c>
      <c r="H36" s="8" t="s">
        <v>26</v>
      </c>
      <c r="I36" s="9">
        <v>3116</v>
      </c>
      <c r="J36" s="10">
        <v>0.25</v>
      </c>
      <c r="K36" s="11">
        <f t="shared" si="1"/>
        <v>779</v>
      </c>
      <c r="L36" s="6" t="s">
        <v>20</v>
      </c>
      <c r="M36" s="6" t="s">
        <v>25</v>
      </c>
      <c r="N36" s="6" t="s">
        <v>34</v>
      </c>
      <c r="O36" s="3"/>
      <c r="P36" s="4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6.5" customHeight="1" x14ac:dyDescent="0.3">
      <c r="A37" s="5">
        <v>44979</v>
      </c>
      <c r="B37" s="6" t="s">
        <v>53</v>
      </c>
      <c r="C37" s="6" t="s">
        <v>15</v>
      </c>
      <c r="D37" s="7" t="s">
        <v>59</v>
      </c>
      <c r="E37" s="6" t="s">
        <v>24</v>
      </c>
      <c r="F37" s="8" t="s">
        <v>32</v>
      </c>
      <c r="G37" s="8" t="str">
        <f t="shared" si="0"/>
        <v>Design</v>
      </c>
      <c r="H37" s="8" t="s">
        <v>33</v>
      </c>
      <c r="I37" s="9">
        <v>2888</v>
      </c>
      <c r="J37" s="10">
        <v>0.4</v>
      </c>
      <c r="K37" s="11">
        <f t="shared" si="1"/>
        <v>1155.2</v>
      </c>
      <c r="L37" s="6" t="s">
        <v>20</v>
      </c>
      <c r="M37" s="6" t="s">
        <v>46</v>
      </c>
      <c r="N37" s="6" t="s">
        <v>37</v>
      </c>
      <c r="O37" s="3"/>
      <c r="P37" s="4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6.5" customHeight="1" x14ac:dyDescent="0.3">
      <c r="A38" s="5">
        <v>44983</v>
      </c>
      <c r="B38" s="6" t="s">
        <v>53</v>
      </c>
      <c r="C38" s="6" t="s">
        <v>15</v>
      </c>
      <c r="D38" s="7" t="s">
        <v>54</v>
      </c>
      <c r="E38" s="6" t="s">
        <v>17</v>
      </c>
      <c r="F38" s="8" t="s">
        <v>39</v>
      </c>
      <c r="G38" s="8" t="str">
        <f t="shared" si="0"/>
        <v>Design</v>
      </c>
      <c r="H38" s="8" t="s">
        <v>19</v>
      </c>
      <c r="I38" s="9">
        <v>4547</v>
      </c>
      <c r="J38" s="10">
        <v>0.35</v>
      </c>
      <c r="K38" s="11">
        <f t="shared" si="1"/>
        <v>1591.4499999999998</v>
      </c>
      <c r="L38" s="6" t="s">
        <v>20</v>
      </c>
      <c r="M38" s="6" t="s">
        <v>21</v>
      </c>
      <c r="N38" s="6" t="s">
        <v>30</v>
      </c>
      <c r="O38" s="3"/>
      <c r="P38" s="4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6.5" customHeight="1" x14ac:dyDescent="0.3">
      <c r="A39" s="5">
        <v>44985</v>
      </c>
      <c r="B39" s="6" t="s">
        <v>53</v>
      </c>
      <c r="C39" s="6" t="s">
        <v>15</v>
      </c>
      <c r="D39" s="7" t="s">
        <v>52</v>
      </c>
      <c r="E39" s="6" t="s">
        <v>17</v>
      </c>
      <c r="F39" s="8" t="s">
        <v>25</v>
      </c>
      <c r="G39" s="8" t="str">
        <f t="shared" si="0"/>
        <v>Marketing</v>
      </c>
      <c r="H39" s="8" t="s">
        <v>26</v>
      </c>
      <c r="I39" s="9">
        <v>3219</v>
      </c>
      <c r="J39" s="10">
        <v>0.25</v>
      </c>
      <c r="K39" s="11">
        <f t="shared" si="1"/>
        <v>804.75</v>
      </c>
      <c r="L39" s="6" t="s">
        <v>27</v>
      </c>
      <c r="M39" s="6" t="s">
        <v>46</v>
      </c>
      <c r="N39" s="6" t="s">
        <v>30</v>
      </c>
      <c r="O39" s="3"/>
      <c r="P39" s="4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6.5" customHeight="1" x14ac:dyDescent="0.3">
      <c r="A40" s="5">
        <v>44985</v>
      </c>
      <c r="B40" s="6" t="s">
        <v>53</v>
      </c>
      <c r="C40" s="6" t="s">
        <v>15</v>
      </c>
      <c r="D40" s="7" t="s">
        <v>36</v>
      </c>
      <c r="E40" s="6" t="s">
        <v>17</v>
      </c>
      <c r="F40" s="8" t="s">
        <v>41</v>
      </c>
      <c r="G40" s="8" t="str">
        <f t="shared" si="0"/>
        <v>Copywriting</v>
      </c>
      <c r="H40" s="8" t="s">
        <v>42</v>
      </c>
      <c r="I40" s="9">
        <v>4139</v>
      </c>
      <c r="J40" s="10">
        <v>0.25</v>
      </c>
      <c r="K40" s="11">
        <f t="shared" si="1"/>
        <v>1034.75</v>
      </c>
      <c r="L40" s="6" t="s">
        <v>20</v>
      </c>
      <c r="M40" s="6" t="s">
        <v>25</v>
      </c>
      <c r="N40" s="6" t="s">
        <v>30</v>
      </c>
      <c r="O40" s="3"/>
      <c r="P40" s="4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6.5" customHeight="1" x14ac:dyDescent="0.3">
      <c r="A41" s="5">
        <v>44985</v>
      </c>
      <c r="B41" s="6" t="s">
        <v>53</v>
      </c>
      <c r="C41" s="6" t="s">
        <v>15</v>
      </c>
      <c r="D41" s="7" t="s">
        <v>60</v>
      </c>
      <c r="E41" s="6" t="s">
        <v>24</v>
      </c>
      <c r="F41" s="8" t="s">
        <v>18</v>
      </c>
      <c r="G41" s="8" t="str">
        <f t="shared" si="0"/>
        <v>Marketing</v>
      </c>
      <c r="H41" s="8" t="s">
        <v>33</v>
      </c>
      <c r="I41" s="9">
        <v>4210</v>
      </c>
      <c r="J41" s="10">
        <v>0.3</v>
      </c>
      <c r="K41" s="11">
        <f t="shared" si="1"/>
        <v>1263</v>
      </c>
      <c r="L41" s="6" t="s">
        <v>20</v>
      </c>
      <c r="M41" s="6" t="s">
        <v>25</v>
      </c>
      <c r="N41" s="6" t="s">
        <v>34</v>
      </c>
      <c r="O41" s="3"/>
      <c r="P41" s="4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6.5" customHeight="1" x14ac:dyDescent="0.3">
      <c r="A42" s="5">
        <v>44986</v>
      </c>
      <c r="B42" s="6" t="s">
        <v>61</v>
      </c>
      <c r="C42" s="6" t="s">
        <v>15</v>
      </c>
      <c r="D42" s="7" t="s">
        <v>62</v>
      </c>
      <c r="E42" s="6" t="s">
        <v>24</v>
      </c>
      <c r="F42" s="8" t="s">
        <v>39</v>
      </c>
      <c r="G42" s="8" t="str">
        <f t="shared" si="0"/>
        <v>Design</v>
      </c>
      <c r="H42" s="8" t="s">
        <v>26</v>
      </c>
      <c r="I42" s="9">
        <v>4768</v>
      </c>
      <c r="J42" s="10">
        <v>0.35</v>
      </c>
      <c r="K42" s="11">
        <f t="shared" si="1"/>
        <v>1668.8</v>
      </c>
      <c r="L42" s="6" t="s">
        <v>27</v>
      </c>
      <c r="M42" s="6" t="s">
        <v>21</v>
      </c>
      <c r="N42" s="6" t="s">
        <v>37</v>
      </c>
      <c r="O42" s="3"/>
      <c r="P42" s="4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6.5" customHeight="1" x14ac:dyDescent="0.3">
      <c r="A43" s="5">
        <v>44986</v>
      </c>
      <c r="B43" s="6" t="s">
        <v>61</v>
      </c>
      <c r="C43" s="6" t="s">
        <v>15</v>
      </c>
      <c r="D43" s="7" t="s">
        <v>47</v>
      </c>
      <c r="E43" s="6" t="s">
        <v>24</v>
      </c>
      <c r="F43" s="8" t="s">
        <v>39</v>
      </c>
      <c r="G43" s="8" t="str">
        <f t="shared" si="0"/>
        <v>Design</v>
      </c>
      <c r="H43" s="8" t="s">
        <v>19</v>
      </c>
      <c r="I43" s="9">
        <v>4863</v>
      </c>
      <c r="J43" s="10">
        <v>0.35</v>
      </c>
      <c r="K43" s="11">
        <f t="shared" si="1"/>
        <v>1702.05</v>
      </c>
      <c r="L43" s="6" t="s">
        <v>20</v>
      </c>
      <c r="M43" s="6" t="s">
        <v>46</v>
      </c>
      <c r="N43" s="6" t="s">
        <v>22</v>
      </c>
      <c r="O43" s="3"/>
      <c r="P43" s="4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6.5" customHeight="1" x14ac:dyDescent="0.3">
      <c r="A44" s="5">
        <v>44990</v>
      </c>
      <c r="B44" s="6" t="s">
        <v>61</v>
      </c>
      <c r="C44" s="6" t="s">
        <v>15</v>
      </c>
      <c r="D44" s="7" t="s">
        <v>44</v>
      </c>
      <c r="E44" s="6" t="s">
        <v>24</v>
      </c>
      <c r="F44" s="8" t="s">
        <v>25</v>
      </c>
      <c r="G44" s="8" t="str">
        <f t="shared" si="0"/>
        <v>Marketing</v>
      </c>
      <c r="H44" s="8" t="s">
        <v>42</v>
      </c>
      <c r="I44" s="9">
        <v>5209</v>
      </c>
      <c r="J44" s="10">
        <v>0.25</v>
      </c>
      <c r="K44" s="11">
        <f t="shared" si="1"/>
        <v>1302.25</v>
      </c>
      <c r="L44" s="6" t="s">
        <v>20</v>
      </c>
      <c r="M44" s="6" t="s">
        <v>46</v>
      </c>
      <c r="N44" s="6" t="s">
        <v>37</v>
      </c>
      <c r="O44" s="3"/>
      <c r="P44" s="4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6.5" customHeight="1" x14ac:dyDescent="0.3">
      <c r="A45" s="5">
        <v>44991</v>
      </c>
      <c r="B45" s="6" t="s">
        <v>61</v>
      </c>
      <c r="C45" s="6" t="s">
        <v>15</v>
      </c>
      <c r="D45" s="7" t="s">
        <v>51</v>
      </c>
      <c r="E45" s="6" t="s">
        <v>24</v>
      </c>
      <c r="F45" s="8" t="s">
        <v>25</v>
      </c>
      <c r="G45" s="8" t="str">
        <f t="shared" si="0"/>
        <v>Marketing</v>
      </c>
      <c r="H45" s="8" t="s">
        <v>33</v>
      </c>
      <c r="I45" s="9">
        <v>3807</v>
      </c>
      <c r="J45" s="10">
        <v>0.25</v>
      </c>
      <c r="K45" s="11">
        <f t="shared" si="1"/>
        <v>951.75</v>
      </c>
      <c r="L45" s="6" t="s">
        <v>27</v>
      </c>
      <c r="M45" s="6" t="s">
        <v>25</v>
      </c>
      <c r="N45" s="6" t="s">
        <v>37</v>
      </c>
      <c r="O45" s="3"/>
      <c r="P45" s="4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6.5" customHeight="1" x14ac:dyDescent="0.3">
      <c r="A46" s="5">
        <v>44992</v>
      </c>
      <c r="B46" s="6" t="s">
        <v>61</v>
      </c>
      <c r="C46" s="6" t="s">
        <v>15</v>
      </c>
      <c r="D46" s="7" t="s">
        <v>56</v>
      </c>
      <c r="E46" s="6" t="s">
        <v>17</v>
      </c>
      <c r="F46" s="8" t="s">
        <v>39</v>
      </c>
      <c r="G46" s="8" t="str">
        <f t="shared" si="0"/>
        <v>Design</v>
      </c>
      <c r="H46" s="8" t="s">
        <v>33</v>
      </c>
      <c r="I46" s="9">
        <v>3219</v>
      </c>
      <c r="J46" s="10">
        <v>0.35</v>
      </c>
      <c r="K46" s="11">
        <f t="shared" si="1"/>
        <v>1126.6499999999999</v>
      </c>
      <c r="L46" s="6" t="s">
        <v>27</v>
      </c>
      <c r="M46" s="6" t="s">
        <v>25</v>
      </c>
      <c r="N46" s="6" t="s">
        <v>34</v>
      </c>
      <c r="O46" s="3"/>
      <c r="P46" s="4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6.5" customHeight="1" x14ac:dyDescent="0.3">
      <c r="A47" s="5">
        <v>44994</v>
      </c>
      <c r="B47" s="6" t="s">
        <v>61</v>
      </c>
      <c r="C47" s="6" t="s">
        <v>15</v>
      </c>
      <c r="D47" s="7" t="s">
        <v>50</v>
      </c>
      <c r="E47" s="6" t="s">
        <v>17</v>
      </c>
      <c r="F47" s="8" t="s">
        <v>32</v>
      </c>
      <c r="G47" s="8" t="str">
        <f t="shared" si="0"/>
        <v>Design</v>
      </c>
      <c r="H47" s="8" t="s">
        <v>29</v>
      </c>
      <c r="I47" s="9">
        <v>5297</v>
      </c>
      <c r="J47" s="10">
        <v>0.4</v>
      </c>
      <c r="K47" s="11">
        <f t="shared" si="1"/>
        <v>2118.8000000000002</v>
      </c>
      <c r="L47" s="6" t="s">
        <v>27</v>
      </c>
      <c r="M47" s="6" t="s">
        <v>25</v>
      </c>
      <c r="N47" s="6" t="s">
        <v>22</v>
      </c>
      <c r="O47" s="3"/>
      <c r="P47" s="4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6.5" customHeight="1" x14ac:dyDescent="0.3">
      <c r="A48" s="5">
        <v>44994</v>
      </c>
      <c r="B48" s="6" t="s">
        <v>61</v>
      </c>
      <c r="C48" s="6" t="s">
        <v>15</v>
      </c>
      <c r="D48" s="7" t="s">
        <v>63</v>
      </c>
      <c r="E48" s="6" t="s">
        <v>17</v>
      </c>
      <c r="F48" s="8" t="s">
        <v>25</v>
      </c>
      <c r="G48" s="8" t="str">
        <f t="shared" si="0"/>
        <v>Marketing</v>
      </c>
      <c r="H48" s="8" t="s">
        <v>33</v>
      </c>
      <c r="I48" s="9">
        <v>3331</v>
      </c>
      <c r="J48" s="10">
        <v>0.25</v>
      </c>
      <c r="K48" s="11">
        <f t="shared" si="1"/>
        <v>832.75</v>
      </c>
      <c r="L48" s="6" t="s">
        <v>27</v>
      </c>
      <c r="M48" s="6" t="s">
        <v>46</v>
      </c>
      <c r="N48" s="6" t="s">
        <v>34</v>
      </c>
      <c r="O48" s="3"/>
      <c r="P48" s="4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6.5" customHeight="1" x14ac:dyDescent="0.3">
      <c r="A49" s="5">
        <v>44995</v>
      </c>
      <c r="B49" s="6" t="s">
        <v>61</v>
      </c>
      <c r="C49" s="6" t="s">
        <v>15</v>
      </c>
      <c r="D49" s="7" t="s">
        <v>58</v>
      </c>
      <c r="E49" s="6" t="s">
        <v>24</v>
      </c>
      <c r="F49" s="8" t="s">
        <v>32</v>
      </c>
      <c r="G49" s="8" t="str">
        <f t="shared" si="0"/>
        <v>Design</v>
      </c>
      <c r="H49" s="8" t="s">
        <v>29</v>
      </c>
      <c r="I49" s="9">
        <v>3445</v>
      </c>
      <c r="J49" s="10">
        <v>0.4</v>
      </c>
      <c r="K49" s="11">
        <f t="shared" si="1"/>
        <v>1378</v>
      </c>
      <c r="L49" s="6" t="s">
        <v>27</v>
      </c>
      <c r="M49" s="6" t="s">
        <v>21</v>
      </c>
      <c r="N49" s="6" t="s">
        <v>37</v>
      </c>
      <c r="O49" s="3"/>
      <c r="P49" s="4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6.5" customHeight="1" x14ac:dyDescent="0.3">
      <c r="A50" s="5">
        <v>44996</v>
      </c>
      <c r="B50" s="6" t="s">
        <v>61</v>
      </c>
      <c r="C50" s="6" t="s">
        <v>15</v>
      </c>
      <c r="D50" s="7" t="s">
        <v>52</v>
      </c>
      <c r="E50" s="6" t="s">
        <v>17</v>
      </c>
      <c r="F50" s="8" t="s">
        <v>25</v>
      </c>
      <c r="G50" s="8" t="str">
        <f t="shared" si="0"/>
        <v>Marketing</v>
      </c>
      <c r="H50" s="8" t="s">
        <v>33</v>
      </c>
      <c r="I50" s="9">
        <v>3195</v>
      </c>
      <c r="J50" s="10">
        <v>0.25</v>
      </c>
      <c r="K50" s="11">
        <f t="shared" si="1"/>
        <v>798.75</v>
      </c>
      <c r="L50" s="6" t="s">
        <v>20</v>
      </c>
      <c r="M50" s="6" t="s">
        <v>25</v>
      </c>
      <c r="N50" s="6" t="s">
        <v>34</v>
      </c>
      <c r="O50" s="3"/>
      <c r="P50" s="4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6.5" customHeight="1" x14ac:dyDescent="0.3">
      <c r="A51" s="5">
        <v>45001</v>
      </c>
      <c r="B51" s="6" t="s">
        <v>61</v>
      </c>
      <c r="C51" s="6" t="s">
        <v>15</v>
      </c>
      <c r="D51" s="7" t="s">
        <v>56</v>
      </c>
      <c r="E51" s="6" t="s">
        <v>17</v>
      </c>
      <c r="F51" s="8" t="s">
        <v>18</v>
      </c>
      <c r="G51" s="8" t="str">
        <f t="shared" si="0"/>
        <v>Marketing</v>
      </c>
      <c r="H51" s="8" t="s">
        <v>26</v>
      </c>
      <c r="I51" s="9">
        <v>3458</v>
      </c>
      <c r="J51" s="10">
        <v>0.3</v>
      </c>
      <c r="K51" s="11">
        <f t="shared" si="1"/>
        <v>1037.3999999999999</v>
      </c>
      <c r="L51" s="6" t="s">
        <v>20</v>
      </c>
      <c r="M51" s="6" t="s">
        <v>46</v>
      </c>
      <c r="N51" s="6" t="s">
        <v>37</v>
      </c>
      <c r="O51" s="3"/>
      <c r="P51" s="4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6.5" customHeight="1" x14ac:dyDescent="0.3">
      <c r="A52" s="5">
        <v>45002</v>
      </c>
      <c r="B52" s="6" t="s">
        <v>61</v>
      </c>
      <c r="C52" s="6" t="s">
        <v>15</v>
      </c>
      <c r="D52" s="7" t="s">
        <v>16</v>
      </c>
      <c r="E52" s="6" t="s">
        <v>17</v>
      </c>
      <c r="F52" s="8" t="s">
        <v>32</v>
      </c>
      <c r="G52" s="8" t="str">
        <f t="shared" si="0"/>
        <v>Design</v>
      </c>
      <c r="H52" s="8" t="s">
        <v>26</v>
      </c>
      <c r="I52" s="9">
        <v>2405</v>
      </c>
      <c r="J52" s="10">
        <v>0.4</v>
      </c>
      <c r="K52" s="11">
        <f t="shared" si="1"/>
        <v>962</v>
      </c>
      <c r="L52" s="6" t="s">
        <v>27</v>
      </c>
      <c r="M52" s="6" t="s">
        <v>25</v>
      </c>
      <c r="N52" s="6" t="s">
        <v>37</v>
      </c>
      <c r="O52" s="3"/>
      <c r="P52" s="4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6.5" customHeight="1" x14ac:dyDescent="0.3">
      <c r="A53" s="5">
        <v>45004</v>
      </c>
      <c r="B53" s="6" t="s">
        <v>61</v>
      </c>
      <c r="C53" s="6" t="s">
        <v>15</v>
      </c>
      <c r="D53" s="7" t="s">
        <v>64</v>
      </c>
      <c r="E53" s="6" t="s">
        <v>17</v>
      </c>
      <c r="F53" s="8" t="s">
        <v>32</v>
      </c>
      <c r="G53" s="8" t="str">
        <f t="shared" si="0"/>
        <v>Design</v>
      </c>
      <c r="H53" s="8" t="s">
        <v>42</v>
      </c>
      <c r="I53" s="9">
        <v>3828</v>
      </c>
      <c r="J53" s="10">
        <v>0.4</v>
      </c>
      <c r="K53" s="11">
        <f t="shared" si="1"/>
        <v>1531.2</v>
      </c>
      <c r="L53" s="6" t="s">
        <v>27</v>
      </c>
      <c r="M53" s="6" t="s">
        <v>21</v>
      </c>
      <c r="N53" s="6" t="s">
        <v>34</v>
      </c>
      <c r="O53" s="3"/>
      <c r="P53" s="4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6.5" customHeight="1" x14ac:dyDescent="0.3">
      <c r="A54" s="5">
        <v>45005</v>
      </c>
      <c r="B54" s="6" t="s">
        <v>61</v>
      </c>
      <c r="C54" s="6" t="s">
        <v>15</v>
      </c>
      <c r="D54" s="7" t="s">
        <v>48</v>
      </c>
      <c r="E54" s="6" t="s">
        <v>17</v>
      </c>
      <c r="F54" s="8" t="s">
        <v>32</v>
      </c>
      <c r="G54" s="8" t="str">
        <f t="shared" si="0"/>
        <v>Design</v>
      </c>
      <c r="H54" s="8" t="s">
        <v>33</v>
      </c>
      <c r="I54" s="9">
        <v>5260</v>
      </c>
      <c r="J54" s="10">
        <v>0.4</v>
      </c>
      <c r="K54" s="11">
        <f t="shared" si="1"/>
        <v>2104</v>
      </c>
      <c r="L54" s="6" t="s">
        <v>27</v>
      </c>
      <c r="M54" s="6" t="s">
        <v>25</v>
      </c>
      <c r="N54" s="6" t="s">
        <v>37</v>
      </c>
      <c r="O54" s="3"/>
      <c r="P54" s="4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6.5" customHeight="1" x14ac:dyDescent="0.3">
      <c r="A55" s="5">
        <v>45008</v>
      </c>
      <c r="B55" s="6" t="s">
        <v>61</v>
      </c>
      <c r="C55" s="6" t="s">
        <v>15</v>
      </c>
      <c r="D55" s="7" t="s">
        <v>31</v>
      </c>
      <c r="E55" s="6" t="s">
        <v>24</v>
      </c>
      <c r="F55" s="8" t="s">
        <v>18</v>
      </c>
      <c r="G55" s="8" t="str">
        <f t="shared" si="0"/>
        <v>Marketing</v>
      </c>
      <c r="H55" s="8" t="s">
        <v>33</v>
      </c>
      <c r="I55" s="9">
        <v>2548</v>
      </c>
      <c r="J55" s="10">
        <v>0.3</v>
      </c>
      <c r="K55" s="11">
        <f t="shared" si="1"/>
        <v>764.4</v>
      </c>
      <c r="L55" s="6" t="s">
        <v>20</v>
      </c>
      <c r="M55" s="6" t="s">
        <v>25</v>
      </c>
      <c r="N55" s="6" t="s">
        <v>34</v>
      </c>
      <c r="O55" s="3"/>
      <c r="P55" s="4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6.5" customHeight="1" x14ac:dyDescent="0.3">
      <c r="A56" s="5">
        <v>45010</v>
      </c>
      <c r="B56" s="6" t="s">
        <v>61</v>
      </c>
      <c r="C56" s="6" t="s">
        <v>15</v>
      </c>
      <c r="D56" s="7" t="s">
        <v>23</v>
      </c>
      <c r="E56" s="6" t="s">
        <v>24</v>
      </c>
      <c r="F56" s="8" t="s">
        <v>41</v>
      </c>
      <c r="G56" s="8" t="str">
        <f t="shared" si="0"/>
        <v>Copywriting</v>
      </c>
      <c r="H56" s="8" t="s">
        <v>26</v>
      </c>
      <c r="I56" s="9">
        <v>4895</v>
      </c>
      <c r="J56" s="10">
        <v>0.25</v>
      </c>
      <c r="K56" s="11">
        <f t="shared" si="1"/>
        <v>1223.75</v>
      </c>
      <c r="L56" s="6" t="s">
        <v>27</v>
      </c>
      <c r="M56" s="6" t="s">
        <v>46</v>
      </c>
      <c r="N56" s="6" t="s">
        <v>30</v>
      </c>
      <c r="O56" s="3"/>
      <c r="P56" s="4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6.5" customHeight="1" x14ac:dyDescent="0.3">
      <c r="A57" s="5">
        <v>45011</v>
      </c>
      <c r="B57" s="6" t="s">
        <v>61</v>
      </c>
      <c r="C57" s="6" t="s">
        <v>15</v>
      </c>
      <c r="D57" s="7" t="s">
        <v>36</v>
      </c>
      <c r="E57" s="6" t="s">
        <v>17</v>
      </c>
      <c r="F57" s="8" t="s">
        <v>39</v>
      </c>
      <c r="G57" s="8" t="str">
        <f t="shared" si="0"/>
        <v>Design</v>
      </c>
      <c r="H57" s="8" t="s">
        <v>26</v>
      </c>
      <c r="I57" s="9">
        <v>5675</v>
      </c>
      <c r="J57" s="10">
        <v>0.35</v>
      </c>
      <c r="K57" s="11">
        <f t="shared" si="1"/>
        <v>1986.2499999999998</v>
      </c>
      <c r="L57" s="6" t="s">
        <v>27</v>
      </c>
      <c r="M57" s="6" t="s">
        <v>21</v>
      </c>
      <c r="N57" s="6" t="s">
        <v>22</v>
      </c>
      <c r="O57" s="3"/>
      <c r="P57" s="4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6.5" customHeight="1" x14ac:dyDescent="0.3">
      <c r="A58" s="5">
        <v>45012</v>
      </c>
      <c r="B58" s="6" t="s">
        <v>61</v>
      </c>
      <c r="C58" s="6" t="s">
        <v>15</v>
      </c>
      <c r="D58" s="7" t="s">
        <v>56</v>
      </c>
      <c r="E58" s="6" t="s">
        <v>17</v>
      </c>
      <c r="F58" s="8" t="s">
        <v>32</v>
      </c>
      <c r="G58" s="8" t="str">
        <f t="shared" si="0"/>
        <v>Design</v>
      </c>
      <c r="H58" s="8" t="s">
        <v>19</v>
      </c>
      <c r="I58" s="9">
        <v>4614</v>
      </c>
      <c r="J58" s="10">
        <v>0.4</v>
      </c>
      <c r="K58" s="11">
        <f t="shared" si="1"/>
        <v>1845.6000000000001</v>
      </c>
      <c r="L58" s="6" t="s">
        <v>27</v>
      </c>
      <c r="M58" s="6" t="s">
        <v>25</v>
      </c>
      <c r="N58" s="6" t="s">
        <v>22</v>
      </c>
      <c r="O58" s="3"/>
      <c r="P58" s="4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6.5" customHeight="1" x14ac:dyDescent="0.3">
      <c r="A59" s="5">
        <v>45012</v>
      </c>
      <c r="B59" s="6" t="s">
        <v>61</v>
      </c>
      <c r="C59" s="6" t="s">
        <v>15</v>
      </c>
      <c r="D59" s="7" t="s">
        <v>59</v>
      </c>
      <c r="E59" s="6" t="s">
        <v>24</v>
      </c>
      <c r="F59" s="8" t="s">
        <v>41</v>
      </c>
      <c r="G59" s="8" t="str">
        <f t="shared" si="0"/>
        <v>Copywriting</v>
      </c>
      <c r="H59" s="8" t="s">
        <v>26</v>
      </c>
      <c r="I59" s="9">
        <v>3757</v>
      </c>
      <c r="J59" s="10">
        <v>0.25</v>
      </c>
      <c r="K59" s="11">
        <f t="shared" si="1"/>
        <v>939.25</v>
      </c>
      <c r="L59" s="6" t="s">
        <v>20</v>
      </c>
      <c r="M59" s="6" t="s">
        <v>46</v>
      </c>
      <c r="N59" s="6" t="s">
        <v>34</v>
      </c>
      <c r="O59" s="3"/>
      <c r="P59" s="4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6.5" customHeight="1" x14ac:dyDescent="0.3">
      <c r="A60" s="5">
        <v>45014</v>
      </c>
      <c r="B60" s="6" t="s">
        <v>61</v>
      </c>
      <c r="C60" s="6" t="s">
        <v>15</v>
      </c>
      <c r="D60" s="7" t="s">
        <v>57</v>
      </c>
      <c r="E60" s="6" t="s">
        <v>24</v>
      </c>
      <c r="F60" s="8" t="s">
        <v>32</v>
      </c>
      <c r="G60" s="8" t="str">
        <f t="shared" si="0"/>
        <v>Design</v>
      </c>
      <c r="H60" s="8" t="s">
        <v>19</v>
      </c>
      <c r="I60" s="9">
        <v>4527</v>
      </c>
      <c r="J60" s="10">
        <v>0.4</v>
      </c>
      <c r="K60" s="11">
        <f t="shared" si="1"/>
        <v>1810.8000000000002</v>
      </c>
      <c r="L60" s="6" t="s">
        <v>20</v>
      </c>
      <c r="M60" s="6" t="s">
        <v>25</v>
      </c>
      <c r="N60" s="6" t="s">
        <v>22</v>
      </c>
      <c r="O60" s="3"/>
      <c r="P60" s="4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6.5" customHeight="1" x14ac:dyDescent="0.3">
      <c r="A61" s="5">
        <v>45015</v>
      </c>
      <c r="B61" s="6" t="s">
        <v>61</v>
      </c>
      <c r="C61" s="6" t="s">
        <v>15</v>
      </c>
      <c r="D61" s="7" t="s">
        <v>28</v>
      </c>
      <c r="E61" s="6" t="s">
        <v>24</v>
      </c>
      <c r="F61" s="8" t="s">
        <v>25</v>
      </c>
      <c r="G61" s="8" t="str">
        <f t="shared" si="0"/>
        <v>Marketing</v>
      </c>
      <c r="H61" s="8" t="s">
        <v>33</v>
      </c>
      <c r="I61" s="9">
        <v>5027</v>
      </c>
      <c r="J61" s="10">
        <v>0.25</v>
      </c>
      <c r="K61" s="11">
        <f t="shared" si="1"/>
        <v>1256.75</v>
      </c>
      <c r="L61" s="6" t="s">
        <v>27</v>
      </c>
      <c r="M61" s="6" t="s">
        <v>46</v>
      </c>
      <c r="N61" s="6" t="s">
        <v>37</v>
      </c>
      <c r="O61" s="3"/>
      <c r="P61" s="4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6.5" customHeight="1" x14ac:dyDescent="0.3">
      <c r="A62" s="5">
        <v>45018</v>
      </c>
      <c r="B62" s="6" t="s">
        <v>65</v>
      </c>
      <c r="C62" s="6" t="s">
        <v>15</v>
      </c>
      <c r="D62" s="7" t="s">
        <v>63</v>
      </c>
      <c r="E62" s="6" t="s">
        <v>17</v>
      </c>
      <c r="F62" s="8" t="s">
        <v>32</v>
      </c>
      <c r="G62" s="8" t="str">
        <f t="shared" si="0"/>
        <v>Design</v>
      </c>
      <c r="H62" s="8" t="s">
        <v>26</v>
      </c>
      <c r="I62" s="9">
        <v>4975</v>
      </c>
      <c r="J62" s="10">
        <v>0.4</v>
      </c>
      <c r="K62" s="11">
        <f t="shared" si="1"/>
        <v>1990</v>
      </c>
      <c r="L62" s="6" t="s">
        <v>27</v>
      </c>
      <c r="M62" s="6" t="s">
        <v>46</v>
      </c>
      <c r="N62" s="6" t="s">
        <v>30</v>
      </c>
      <c r="O62" s="3"/>
      <c r="P62" s="4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6.5" customHeight="1" x14ac:dyDescent="0.3">
      <c r="A63" s="5">
        <v>45021</v>
      </c>
      <c r="B63" s="6" t="s">
        <v>65</v>
      </c>
      <c r="C63" s="6" t="s">
        <v>15</v>
      </c>
      <c r="D63" s="7" t="s">
        <v>60</v>
      </c>
      <c r="E63" s="6" t="s">
        <v>24</v>
      </c>
      <c r="F63" s="8" t="s">
        <v>39</v>
      </c>
      <c r="G63" s="8" t="str">
        <f t="shared" si="0"/>
        <v>Design</v>
      </c>
      <c r="H63" s="8" t="s">
        <v>33</v>
      </c>
      <c r="I63" s="9">
        <v>4828</v>
      </c>
      <c r="J63" s="10">
        <v>0.35</v>
      </c>
      <c r="K63" s="11">
        <f t="shared" si="1"/>
        <v>1689.8</v>
      </c>
      <c r="L63" s="6" t="s">
        <v>20</v>
      </c>
      <c r="M63" s="6" t="s">
        <v>21</v>
      </c>
      <c r="N63" s="6" t="s">
        <v>34</v>
      </c>
      <c r="O63" s="3"/>
      <c r="P63" s="4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6.5" customHeight="1" x14ac:dyDescent="0.3">
      <c r="A64" s="5">
        <v>45024</v>
      </c>
      <c r="B64" s="6" t="s">
        <v>65</v>
      </c>
      <c r="C64" s="6" t="s">
        <v>15</v>
      </c>
      <c r="D64" s="7" t="s">
        <v>52</v>
      </c>
      <c r="E64" s="6" t="s">
        <v>17</v>
      </c>
      <c r="F64" s="8" t="s">
        <v>39</v>
      </c>
      <c r="G64" s="8" t="str">
        <f t="shared" si="0"/>
        <v>Design</v>
      </c>
      <c r="H64" s="8" t="s">
        <v>33</v>
      </c>
      <c r="I64" s="9">
        <v>5616</v>
      </c>
      <c r="J64" s="10">
        <v>0.35</v>
      </c>
      <c r="K64" s="11">
        <f t="shared" si="1"/>
        <v>1965.6</v>
      </c>
      <c r="L64" s="6" t="s">
        <v>20</v>
      </c>
      <c r="M64" s="6" t="s">
        <v>25</v>
      </c>
      <c r="N64" s="6" t="s">
        <v>30</v>
      </c>
      <c r="O64" s="3"/>
      <c r="P64" s="4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6.5" customHeight="1" x14ac:dyDescent="0.3">
      <c r="A65" s="5">
        <v>45028</v>
      </c>
      <c r="B65" s="6" t="s">
        <v>65</v>
      </c>
      <c r="C65" s="6" t="s">
        <v>15</v>
      </c>
      <c r="D65" s="7" t="s">
        <v>59</v>
      </c>
      <c r="E65" s="6" t="s">
        <v>24</v>
      </c>
      <c r="F65" s="8" t="s">
        <v>25</v>
      </c>
      <c r="G65" s="8" t="str">
        <f t="shared" si="0"/>
        <v>Marketing</v>
      </c>
      <c r="H65" s="8" t="s">
        <v>19</v>
      </c>
      <c r="I65" s="9">
        <v>3803</v>
      </c>
      <c r="J65" s="10">
        <v>0.25</v>
      </c>
      <c r="K65" s="11">
        <f t="shared" si="1"/>
        <v>950.75</v>
      </c>
      <c r="L65" s="6" t="s">
        <v>27</v>
      </c>
      <c r="M65" s="6" t="s">
        <v>46</v>
      </c>
      <c r="N65" s="6" t="s">
        <v>22</v>
      </c>
      <c r="O65" s="3"/>
      <c r="P65" s="4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6.5" customHeight="1" x14ac:dyDescent="0.3">
      <c r="A66" s="5">
        <v>45029</v>
      </c>
      <c r="B66" s="6" t="s">
        <v>65</v>
      </c>
      <c r="C66" s="6" t="s">
        <v>15</v>
      </c>
      <c r="D66" s="7" t="s">
        <v>64</v>
      </c>
      <c r="E66" s="6" t="s">
        <v>17</v>
      </c>
      <c r="F66" s="8" t="s">
        <v>41</v>
      </c>
      <c r="G66" s="8" t="str">
        <f t="shared" si="0"/>
        <v>Copywriting</v>
      </c>
      <c r="H66" s="8" t="s">
        <v>29</v>
      </c>
      <c r="I66" s="9">
        <v>3692</v>
      </c>
      <c r="J66" s="10">
        <v>0.25</v>
      </c>
      <c r="K66" s="11">
        <f t="shared" si="1"/>
        <v>923</v>
      </c>
      <c r="L66" s="6" t="s">
        <v>20</v>
      </c>
      <c r="M66" s="6" t="s">
        <v>25</v>
      </c>
      <c r="N66" s="6" t="s">
        <v>34</v>
      </c>
      <c r="O66" s="3"/>
      <c r="P66" s="4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6.5" customHeight="1" x14ac:dyDescent="0.3">
      <c r="A67" s="5">
        <v>45029</v>
      </c>
      <c r="B67" s="6" t="s">
        <v>65</v>
      </c>
      <c r="C67" s="6" t="s">
        <v>15</v>
      </c>
      <c r="D67" s="7" t="s">
        <v>31</v>
      </c>
      <c r="E67" s="6" t="s">
        <v>24</v>
      </c>
      <c r="F67" s="8" t="s">
        <v>18</v>
      </c>
      <c r="G67" s="8" t="str">
        <f t="shared" si="0"/>
        <v>Marketing</v>
      </c>
      <c r="H67" s="8" t="s">
        <v>19</v>
      </c>
      <c r="I67" s="9">
        <v>3029</v>
      </c>
      <c r="J67" s="10">
        <v>0.3</v>
      </c>
      <c r="K67" s="11">
        <f t="shared" si="1"/>
        <v>908.69999999999993</v>
      </c>
      <c r="L67" s="6" t="s">
        <v>20</v>
      </c>
      <c r="M67" s="6" t="s">
        <v>21</v>
      </c>
      <c r="N67" s="6" t="s">
        <v>34</v>
      </c>
      <c r="O67" s="3"/>
      <c r="P67" s="4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6.5" customHeight="1" x14ac:dyDescent="0.3">
      <c r="A68" s="5">
        <v>45030</v>
      </c>
      <c r="B68" s="6" t="s">
        <v>65</v>
      </c>
      <c r="C68" s="6" t="s">
        <v>15</v>
      </c>
      <c r="D68" s="7" t="s">
        <v>66</v>
      </c>
      <c r="E68" s="6" t="s">
        <v>24</v>
      </c>
      <c r="F68" s="8" t="s">
        <v>18</v>
      </c>
      <c r="G68" s="8" t="str">
        <f t="shared" si="0"/>
        <v>Marketing</v>
      </c>
      <c r="H68" s="8" t="s">
        <v>26</v>
      </c>
      <c r="I68" s="9">
        <v>5670</v>
      </c>
      <c r="J68" s="10">
        <v>0.3</v>
      </c>
      <c r="K68" s="11">
        <f t="shared" si="1"/>
        <v>1701</v>
      </c>
      <c r="L68" s="6" t="s">
        <v>27</v>
      </c>
      <c r="M68" s="6" t="s">
        <v>25</v>
      </c>
      <c r="N68" s="6" t="s">
        <v>34</v>
      </c>
      <c r="O68" s="3"/>
      <c r="P68" s="4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6.5" customHeight="1" x14ac:dyDescent="0.3">
      <c r="A69" s="5">
        <v>45032</v>
      </c>
      <c r="B69" s="6" t="s">
        <v>65</v>
      </c>
      <c r="C69" s="6" t="s">
        <v>15</v>
      </c>
      <c r="D69" s="7" t="s">
        <v>52</v>
      </c>
      <c r="E69" s="6" t="s">
        <v>17</v>
      </c>
      <c r="F69" s="8" t="s">
        <v>25</v>
      </c>
      <c r="G69" s="8" t="str">
        <f t="shared" si="0"/>
        <v>Marketing</v>
      </c>
      <c r="H69" s="8" t="s">
        <v>29</v>
      </c>
      <c r="I69" s="9">
        <v>5483</v>
      </c>
      <c r="J69" s="10">
        <v>0.25</v>
      </c>
      <c r="K69" s="11">
        <f t="shared" si="1"/>
        <v>1370.75</v>
      </c>
      <c r="L69" s="6" t="s">
        <v>20</v>
      </c>
      <c r="M69" s="6" t="s">
        <v>46</v>
      </c>
      <c r="N69" s="6" t="s">
        <v>37</v>
      </c>
      <c r="O69" s="3"/>
      <c r="P69" s="4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6.5" customHeight="1" x14ac:dyDescent="0.3">
      <c r="A70" s="5">
        <v>45035</v>
      </c>
      <c r="B70" s="6" t="s">
        <v>65</v>
      </c>
      <c r="C70" s="6" t="s">
        <v>15</v>
      </c>
      <c r="D70" s="7" t="s">
        <v>16</v>
      </c>
      <c r="E70" s="6" t="s">
        <v>17</v>
      </c>
      <c r="F70" s="8" t="s">
        <v>39</v>
      </c>
      <c r="G70" s="8" t="str">
        <f t="shared" si="0"/>
        <v>Design</v>
      </c>
      <c r="H70" s="8" t="s">
        <v>19</v>
      </c>
      <c r="I70" s="9">
        <v>2771</v>
      </c>
      <c r="J70" s="10">
        <v>0.35</v>
      </c>
      <c r="K70" s="11">
        <f t="shared" si="1"/>
        <v>969.84999999999991</v>
      </c>
      <c r="L70" s="6" t="s">
        <v>27</v>
      </c>
      <c r="M70" s="6" t="s">
        <v>25</v>
      </c>
      <c r="N70" s="6" t="s">
        <v>34</v>
      </c>
      <c r="O70" s="3"/>
      <c r="P70" s="4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6.5" customHeight="1" x14ac:dyDescent="0.3">
      <c r="A71" s="5">
        <v>45037</v>
      </c>
      <c r="B71" s="6" t="s">
        <v>65</v>
      </c>
      <c r="C71" s="6" t="s">
        <v>15</v>
      </c>
      <c r="D71" s="7" t="s">
        <v>52</v>
      </c>
      <c r="E71" s="6" t="s">
        <v>17</v>
      </c>
      <c r="F71" s="8" t="s">
        <v>32</v>
      </c>
      <c r="G71" s="8" t="str">
        <f t="shared" si="0"/>
        <v>Design</v>
      </c>
      <c r="H71" s="8" t="s">
        <v>42</v>
      </c>
      <c r="I71" s="9">
        <v>4892</v>
      </c>
      <c r="J71" s="10">
        <v>0.4</v>
      </c>
      <c r="K71" s="11">
        <f t="shared" si="1"/>
        <v>1956.8000000000002</v>
      </c>
      <c r="L71" s="6" t="s">
        <v>20</v>
      </c>
      <c r="M71" s="6" t="s">
        <v>25</v>
      </c>
      <c r="N71" s="6" t="s">
        <v>34</v>
      </c>
      <c r="O71" s="3"/>
      <c r="P71" s="4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6.5" customHeight="1" x14ac:dyDescent="0.3">
      <c r="A72" s="5">
        <v>45037</v>
      </c>
      <c r="B72" s="6" t="s">
        <v>65</v>
      </c>
      <c r="C72" s="6" t="s">
        <v>15</v>
      </c>
      <c r="D72" s="7" t="s">
        <v>23</v>
      </c>
      <c r="E72" s="6" t="s">
        <v>24</v>
      </c>
      <c r="F72" s="8" t="s">
        <v>39</v>
      </c>
      <c r="G72" s="8" t="str">
        <f t="shared" si="0"/>
        <v>Design</v>
      </c>
      <c r="H72" s="8" t="s">
        <v>33</v>
      </c>
      <c r="I72" s="9">
        <v>3772</v>
      </c>
      <c r="J72" s="10">
        <v>0.35</v>
      </c>
      <c r="K72" s="11">
        <f t="shared" si="1"/>
        <v>1320.1999999999998</v>
      </c>
      <c r="L72" s="6" t="s">
        <v>20</v>
      </c>
      <c r="M72" s="6" t="s">
        <v>21</v>
      </c>
      <c r="N72" s="6" t="s">
        <v>30</v>
      </c>
      <c r="O72" s="3"/>
      <c r="P72" s="4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6.5" customHeight="1" x14ac:dyDescent="0.3">
      <c r="A73" s="5">
        <v>45038</v>
      </c>
      <c r="B73" s="6" t="s">
        <v>65</v>
      </c>
      <c r="C73" s="6" t="s">
        <v>15</v>
      </c>
      <c r="D73" s="7" t="s">
        <v>47</v>
      </c>
      <c r="E73" s="6" t="s">
        <v>24</v>
      </c>
      <c r="F73" s="8" t="s">
        <v>32</v>
      </c>
      <c r="G73" s="8" t="str">
        <f t="shared" si="0"/>
        <v>Design</v>
      </c>
      <c r="H73" s="8" t="s">
        <v>33</v>
      </c>
      <c r="I73" s="9">
        <v>2496</v>
      </c>
      <c r="J73" s="10">
        <v>0.4</v>
      </c>
      <c r="K73" s="11">
        <f t="shared" si="1"/>
        <v>998.40000000000009</v>
      </c>
      <c r="L73" s="6" t="s">
        <v>20</v>
      </c>
      <c r="M73" s="6" t="s">
        <v>46</v>
      </c>
      <c r="N73" s="6" t="s">
        <v>37</v>
      </c>
      <c r="O73" s="3"/>
      <c r="P73" s="4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6.5" customHeight="1" x14ac:dyDescent="0.3">
      <c r="A74" s="5">
        <v>45039</v>
      </c>
      <c r="B74" s="6" t="s">
        <v>65</v>
      </c>
      <c r="C74" s="6" t="s">
        <v>15</v>
      </c>
      <c r="D74" s="7" t="s">
        <v>63</v>
      </c>
      <c r="E74" s="6" t="s">
        <v>17</v>
      </c>
      <c r="F74" s="8" t="s">
        <v>32</v>
      </c>
      <c r="G74" s="8" t="str">
        <f t="shared" si="0"/>
        <v>Design</v>
      </c>
      <c r="H74" s="8" t="s">
        <v>29</v>
      </c>
      <c r="I74" s="9">
        <v>4405</v>
      </c>
      <c r="J74" s="10">
        <v>0.4</v>
      </c>
      <c r="K74" s="11">
        <f t="shared" si="1"/>
        <v>1762</v>
      </c>
      <c r="L74" s="6" t="s">
        <v>20</v>
      </c>
      <c r="M74" s="6" t="s">
        <v>46</v>
      </c>
      <c r="N74" s="6" t="s">
        <v>30</v>
      </c>
      <c r="O74" s="3"/>
      <c r="P74" s="4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6.5" customHeight="1" x14ac:dyDescent="0.3">
      <c r="A75" s="5">
        <v>45040</v>
      </c>
      <c r="B75" s="6" t="s">
        <v>65</v>
      </c>
      <c r="C75" s="6" t="s">
        <v>15</v>
      </c>
      <c r="D75" s="7" t="s">
        <v>57</v>
      </c>
      <c r="E75" s="6" t="s">
        <v>24</v>
      </c>
      <c r="F75" s="8" t="s">
        <v>25</v>
      </c>
      <c r="G75" s="8" t="str">
        <f t="shared" si="0"/>
        <v>Marketing</v>
      </c>
      <c r="H75" s="8" t="s">
        <v>33</v>
      </c>
      <c r="I75" s="9">
        <v>3973</v>
      </c>
      <c r="J75" s="10">
        <v>0.25</v>
      </c>
      <c r="K75" s="11">
        <f t="shared" si="1"/>
        <v>993.25</v>
      </c>
      <c r="L75" s="6" t="s">
        <v>27</v>
      </c>
      <c r="M75" s="6" t="s">
        <v>21</v>
      </c>
      <c r="N75" s="6" t="s">
        <v>30</v>
      </c>
      <c r="O75" s="3"/>
      <c r="P75" s="4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6.5" customHeight="1" x14ac:dyDescent="0.3">
      <c r="A76" s="5">
        <v>45041</v>
      </c>
      <c r="B76" s="6" t="s">
        <v>65</v>
      </c>
      <c r="C76" s="6" t="s">
        <v>15</v>
      </c>
      <c r="D76" s="7" t="s">
        <v>36</v>
      </c>
      <c r="E76" s="6" t="s">
        <v>17</v>
      </c>
      <c r="F76" s="8" t="s">
        <v>41</v>
      </c>
      <c r="G76" s="8" t="str">
        <f t="shared" si="0"/>
        <v>Copywriting</v>
      </c>
      <c r="H76" s="8" t="s">
        <v>33</v>
      </c>
      <c r="I76" s="9">
        <v>4627</v>
      </c>
      <c r="J76" s="10">
        <v>0.25</v>
      </c>
      <c r="K76" s="11">
        <f t="shared" si="1"/>
        <v>1156.75</v>
      </c>
      <c r="L76" s="6" t="s">
        <v>20</v>
      </c>
      <c r="M76" s="6" t="s">
        <v>25</v>
      </c>
      <c r="N76" s="6" t="s">
        <v>37</v>
      </c>
      <c r="O76" s="3"/>
      <c r="P76" s="4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6.5" customHeight="1" x14ac:dyDescent="0.3">
      <c r="A77" s="5">
        <v>45045</v>
      </c>
      <c r="B77" s="6" t="s">
        <v>65</v>
      </c>
      <c r="C77" s="6" t="s">
        <v>15</v>
      </c>
      <c r="D77" s="7" t="s">
        <v>48</v>
      </c>
      <c r="E77" s="6" t="s">
        <v>17</v>
      </c>
      <c r="F77" s="8" t="s">
        <v>32</v>
      </c>
      <c r="G77" s="8" t="str">
        <f t="shared" si="0"/>
        <v>Design</v>
      </c>
      <c r="H77" s="8" t="s">
        <v>29</v>
      </c>
      <c r="I77" s="9">
        <v>5195</v>
      </c>
      <c r="J77" s="10">
        <v>0.4</v>
      </c>
      <c r="K77" s="11">
        <f t="shared" si="1"/>
        <v>2078</v>
      </c>
      <c r="L77" s="6" t="s">
        <v>20</v>
      </c>
      <c r="M77" s="6" t="s">
        <v>46</v>
      </c>
      <c r="N77" s="6" t="s">
        <v>34</v>
      </c>
      <c r="O77" s="3"/>
      <c r="P77" s="4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6.5" customHeight="1" x14ac:dyDescent="0.3">
      <c r="A78" s="5">
        <v>45045</v>
      </c>
      <c r="B78" s="6" t="s">
        <v>65</v>
      </c>
      <c r="C78" s="6" t="s">
        <v>15</v>
      </c>
      <c r="D78" s="7" t="s">
        <v>31</v>
      </c>
      <c r="E78" s="6" t="s">
        <v>24</v>
      </c>
      <c r="F78" s="8" t="s">
        <v>18</v>
      </c>
      <c r="G78" s="8" t="str">
        <f t="shared" si="0"/>
        <v>Marketing</v>
      </c>
      <c r="H78" s="8" t="s">
        <v>19</v>
      </c>
      <c r="I78" s="9">
        <v>4412</v>
      </c>
      <c r="J78" s="10">
        <v>0.3</v>
      </c>
      <c r="K78" s="11">
        <f t="shared" si="1"/>
        <v>1323.6</v>
      </c>
      <c r="L78" s="6" t="s">
        <v>20</v>
      </c>
      <c r="M78" s="6" t="s">
        <v>25</v>
      </c>
      <c r="N78" s="6" t="s">
        <v>34</v>
      </c>
      <c r="O78" s="3"/>
      <c r="P78" s="4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6.5" customHeight="1" x14ac:dyDescent="0.3">
      <c r="A79" s="5">
        <v>45046</v>
      </c>
      <c r="B79" s="6" t="s">
        <v>65</v>
      </c>
      <c r="C79" s="6" t="s">
        <v>15</v>
      </c>
      <c r="D79" s="7" t="s">
        <v>40</v>
      </c>
      <c r="E79" s="6" t="s">
        <v>17</v>
      </c>
      <c r="F79" s="8" t="s">
        <v>18</v>
      </c>
      <c r="G79" s="8" t="str">
        <f t="shared" si="0"/>
        <v>Marketing</v>
      </c>
      <c r="H79" s="8" t="s">
        <v>26</v>
      </c>
      <c r="I79" s="9">
        <v>5440</v>
      </c>
      <c r="J79" s="10">
        <v>0.3</v>
      </c>
      <c r="K79" s="11">
        <f t="shared" si="1"/>
        <v>1632</v>
      </c>
      <c r="L79" s="6" t="s">
        <v>20</v>
      </c>
      <c r="M79" s="6" t="s">
        <v>25</v>
      </c>
      <c r="N79" s="6" t="s">
        <v>34</v>
      </c>
      <c r="O79" s="3"/>
      <c r="P79" s="4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6.5" customHeight="1" x14ac:dyDescent="0.3">
      <c r="A80" s="5">
        <v>45046</v>
      </c>
      <c r="B80" s="6" t="s">
        <v>65</v>
      </c>
      <c r="C80" s="6" t="s">
        <v>15</v>
      </c>
      <c r="D80" s="7" t="s">
        <v>31</v>
      </c>
      <c r="E80" s="6" t="s">
        <v>24</v>
      </c>
      <c r="F80" s="8" t="s">
        <v>18</v>
      </c>
      <c r="G80" s="8" t="str">
        <f t="shared" si="0"/>
        <v>Marketing</v>
      </c>
      <c r="H80" s="8" t="s">
        <v>33</v>
      </c>
      <c r="I80" s="9">
        <v>4099</v>
      </c>
      <c r="J80" s="10">
        <v>0.3</v>
      </c>
      <c r="K80" s="11">
        <f t="shared" si="1"/>
        <v>1229.7</v>
      </c>
      <c r="L80" s="6" t="s">
        <v>20</v>
      </c>
      <c r="M80" s="6" t="s">
        <v>21</v>
      </c>
      <c r="N80" s="6" t="s">
        <v>22</v>
      </c>
      <c r="O80" s="3"/>
      <c r="P80" s="4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6.5" customHeight="1" x14ac:dyDescent="0.3">
      <c r="A81" s="5">
        <v>45046</v>
      </c>
      <c r="B81" s="6" t="s">
        <v>65</v>
      </c>
      <c r="C81" s="6" t="s">
        <v>15</v>
      </c>
      <c r="D81" s="7" t="s">
        <v>51</v>
      </c>
      <c r="E81" s="6" t="s">
        <v>24</v>
      </c>
      <c r="F81" s="8" t="s">
        <v>18</v>
      </c>
      <c r="G81" s="8" t="str">
        <f t="shared" si="0"/>
        <v>Marketing</v>
      </c>
      <c r="H81" s="8" t="s">
        <v>29</v>
      </c>
      <c r="I81" s="9">
        <v>2978</v>
      </c>
      <c r="J81" s="10">
        <v>0.3</v>
      </c>
      <c r="K81" s="11">
        <f t="shared" si="1"/>
        <v>893.4</v>
      </c>
      <c r="L81" s="6" t="s">
        <v>27</v>
      </c>
      <c r="M81" s="6" t="s">
        <v>21</v>
      </c>
      <c r="N81" s="6" t="s">
        <v>37</v>
      </c>
      <c r="O81" s="3"/>
      <c r="P81" s="4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6.5" customHeight="1" x14ac:dyDescent="0.3">
      <c r="A82" s="5">
        <v>45047</v>
      </c>
      <c r="B82" s="6" t="s">
        <v>67</v>
      </c>
      <c r="C82" s="6" t="s">
        <v>15</v>
      </c>
      <c r="D82" s="7" t="s">
        <v>68</v>
      </c>
      <c r="E82" s="6" t="s">
        <v>24</v>
      </c>
      <c r="F82" s="8" t="s">
        <v>18</v>
      </c>
      <c r="G82" s="8" t="str">
        <f t="shared" si="0"/>
        <v>Marketing</v>
      </c>
      <c r="H82" s="8" t="s">
        <v>29</v>
      </c>
      <c r="I82" s="9">
        <v>2689</v>
      </c>
      <c r="J82" s="10">
        <v>0.3</v>
      </c>
      <c r="K82" s="11">
        <f t="shared" si="1"/>
        <v>806.69999999999993</v>
      </c>
      <c r="L82" s="6" t="s">
        <v>20</v>
      </c>
      <c r="M82" s="6" t="s">
        <v>21</v>
      </c>
      <c r="N82" s="6" t="s">
        <v>37</v>
      </c>
      <c r="O82" s="3"/>
      <c r="P82" s="4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6.5" customHeight="1" x14ac:dyDescent="0.3">
      <c r="A83" s="5">
        <v>45051</v>
      </c>
      <c r="B83" s="6" t="s">
        <v>67</v>
      </c>
      <c r="C83" s="6" t="s">
        <v>15</v>
      </c>
      <c r="D83" s="7" t="s">
        <v>57</v>
      </c>
      <c r="E83" s="6" t="s">
        <v>24</v>
      </c>
      <c r="F83" s="8" t="s">
        <v>25</v>
      </c>
      <c r="G83" s="8" t="str">
        <f t="shared" si="0"/>
        <v>Marketing</v>
      </c>
      <c r="H83" s="8" t="s">
        <v>33</v>
      </c>
      <c r="I83" s="9">
        <v>5482</v>
      </c>
      <c r="J83" s="10">
        <v>0.25</v>
      </c>
      <c r="K83" s="11">
        <f t="shared" si="1"/>
        <v>1370.5</v>
      </c>
      <c r="L83" s="6" t="s">
        <v>20</v>
      </c>
      <c r="M83" s="6" t="s">
        <v>46</v>
      </c>
      <c r="N83" s="6" t="s">
        <v>37</v>
      </c>
      <c r="O83" s="3"/>
      <c r="P83" s="4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6.5" customHeight="1" x14ac:dyDescent="0.3">
      <c r="A84" s="5">
        <v>45052</v>
      </c>
      <c r="B84" s="6" t="s">
        <v>67</v>
      </c>
      <c r="C84" s="6" t="s">
        <v>15</v>
      </c>
      <c r="D84" s="7" t="s">
        <v>45</v>
      </c>
      <c r="E84" s="6" t="s">
        <v>17</v>
      </c>
      <c r="F84" s="8" t="s">
        <v>32</v>
      </c>
      <c r="G84" s="8" t="str">
        <f t="shared" si="0"/>
        <v>Design</v>
      </c>
      <c r="H84" s="8" t="s">
        <v>29</v>
      </c>
      <c r="I84" s="9">
        <v>4475</v>
      </c>
      <c r="J84" s="10">
        <v>0.4</v>
      </c>
      <c r="K84" s="11">
        <f t="shared" si="1"/>
        <v>1790</v>
      </c>
      <c r="L84" s="6" t="s">
        <v>20</v>
      </c>
      <c r="M84" s="6" t="s">
        <v>25</v>
      </c>
      <c r="N84" s="6" t="s">
        <v>37</v>
      </c>
      <c r="O84" s="3"/>
      <c r="P84" s="4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6.5" customHeight="1" x14ac:dyDescent="0.3">
      <c r="A85" s="5">
        <v>45053</v>
      </c>
      <c r="B85" s="6" t="s">
        <v>67</v>
      </c>
      <c r="C85" s="6" t="s">
        <v>15</v>
      </c>
      <c r="D85" s="7" t="s">
        <v>40</v>
      </c>
      <c r="E85" s="6" t="s">
        <v>17</v>
      </c>
      <c r="F85" s="8" t="s">
        <v>41</v>
      </c>
      <c r="G85" s="8" t="str">
        <f t="shared" si="0"/>
        <v>Copywriting</v>
      </c>
      <c r="H85" s="8" t="s">
        <v>33</v>
      </c>
      <c r="I85" s="9">
        <v>5517</v>
      </c>
      <c r="J85" s="10">
        <v>0.25</v>
      </c>
      <c r="K85" s="11">
        <f t="shared" si="1"/>
        <v>1379.25</v>
      </c>
      <c r="L85" s="6" t="s">
        <v>20</v>
      </c>
      <c r="M85" s="6" t="s">
        <v>46</v>
      </c>
      <c r="N85" s="6" t="s">
        <v>30</v>
      </c>
      <c r="O85" s="3"/>
      <c r="P85" s="4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6.5" customHeight="1" x14ac:dyDescent="0.3">
      <c r="A86" s="5">
        <v>45055</v>
      </c>
      <c r="B86" s="6" t="s">
        <v>67</v>
      </c>
      <c r="C86" s="6" t="s">
        <v>15</v>
      </c>
      <c r="D86" s="7" t="s">
        <v>54</v>
      </c>
      <c r="E86" s="6" t="s">
        <v>17</v>
      </c>
      <c r="F86" s="8" t="s">
        <v>39</v>
      </c>
      <c r="G86" s="8" t="str">
        <f t="shared" si="0"/>
        <v>Design</v>
      </c>
      <c r="H86" s="8" t="s">
        <v>33</v>
      </c>
      <c r="I86" s="9">
        <v>4013</v>
      </c>
      <c r="J86" s="10">
        <v>0.35</v>
      </c>
      <c r="K86" s="11">
        <f t="shared" si="1"/>
        <v>1404.55</v>
      </c>
      <c r="L86" s="6" t="s">
        <v>20</v>
      </c>
      <c r="M86" s="6" t="s">
        <v>21</v>
      </c>
      <c r="N86" s="6" t="s">
        <v>22</v>
      </c>
      <c r="O86" s="3"/>
      <c r="P86" s="4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6.5" customHeight="1" x14ac:dyDescent="0.3">
      <c r="A87" s="5">
        <v>45057</v>
      </c>
      <c r="B87" s="6" t="s">
        <v>67</v>
      </c>
      <c r="C87" s="6" t="s">
        <v>15</v>
      </c>
      <c r="D87" s="7" t="s">
        <v>48</v>
      </c>
      <c r="E87" s="6" t="s">
        <v>17</v>
      </c>
      <c r="F87" s="8" t="s">
        <v>32</v>
      </c>
      <c r="G87" s="8" t="str">
        <f t="shared" si="0"/>
        <v>Design</v>
      </c>
      <c r="H87" s="8" t="s">
        <v>29</v>
      </c>
      <c r="I87" s="9">
        <v>3518</v>
      </c>
      <c r="J87" s="10">
        <v>0.4</v>
      </c>
      <c r="K87" s="11">
        <f t="shared" si="1"/>
        <v>1407.2</v>
      </c>
      <c r="L87" s="6" t="s">
        <v>27</v>
      </c>
      <c r="M87" s="6" t="s">
        <v>25</v>
      </c>
      <c r="N87" s="6" t="s">
        <v>34</v>
      </c>
      <c r="O87" s="3"/>
      <c r="P87" s="4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6.5" customHeight="1" x14ac:dyDescent="0.3">
      <c r="A88" s="5">
        <v>45057</v>
      </c>
      <c r="B88" s="6" t="s">
        <v>67</v>
      </c>
      <c r="C88" s="6" t="s">
        <v>15</v>
      </c>
      <c r="D88" s="7" t="s">
        <v>50</v>
      </c>
      <c r="E88" s="6" t="s">
        <v>17</v>
      </c>
      <c r="F88" s="8" t="s">
        <v>41</v>
      </c>
      <c r="G88" s="8" t="str">
        <f t="shared" si="0"/>
        <v>Copywriting</v>
      </c>
      <c r="H88" s="8" t="s">
        <v>29</v>
      </c>
      <c r="I88" s="9">
        <v>3067</v>
      </c>
      <c r="J88" s="10">
        <v>0.25</v>
      </c>
      <c r="K88" s="11">
        <f t="shared" si="1"/>
        <v>766.75</v>
      </c>
      <c r="L88" s="6" t="s">
        <v>20</v>
      </c>
      <c r="M88" s="6" t="s">
        <v>21</v>
      </c>
      <c r="N88" s="6" t="s">
        <v>22</v>
      </c>
      <c r="O88" s="3"/>
      <c r="P88" s="4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6.5" customHeight="1" x14ac:dyDescent="0.3">
      <c r="A89" s="5">
        <v>45058</v>
      </c>
      <c r="B89" s="6" t="s">
        <v>67</v>
      </c>
      <c r="C89" s="6" t="s">
        <v>15</v>
      </c>
      <c r="D89" s="7" t="s">
        <v>57</v>
      </c>
      <c r="E89" s="6" t="s">
        <v>24</v>
      </c>
      <c r="F89" s="8" t="s">
        <v>32</v>
      </c>
      <c r="G89" s="8" t="str">
        <f t="shared" si="0"/>
        <v>Design</v>
      </c>
      <c r="H89" s="8" t="s">
        <v>33</v>
      </c>
      <c r="I89" s="9">
        <v>3374</v>
      </c>
      <c r="J89" s="10">
        <v>0.4</v>
      </c>
      <c r="K89" s="11">
        <f t="shared" si="1"/>
        <v>1349.6000000000001</v>
      </c>
      <c r="L89" s="6" t="s">
        <v>20</v>
      </c>
      <c r="M89" s="6" t="s">
        <v>46</v>
      </c>
      <c r="N89" s="6" t="s">
        <v>37</v>
      </c>
      <c r="O89" s="3"/>
      <c r="P89" s="4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6.5" customHeight="1" x14ac:dyDescent="0.3">
      <c r="A90" s="5">
        <v>45060</v>
      </c>
      <c r="B90" s="6" t="s">
        <v>67</v>
      </c>
      <c r="C90" s="6" t="s">
        <v>15</v>
      </c>
      <c r="D90" s="7" t="s">
        <v>16</v>
      </c>
      <c r="E90" s="6" t="s">
        <v>17</v>
      </c>
      <c r="F90" s="8" t="s">
        <v>41</v>
      </c>
      <c r="G90" s="8" t="str">
        <f t="shared" si="0"/>
        <v>Copywriting</v>
      </c>
      <c r="H90" s="8" t="s">
        <v>29</v>
      </c>
      <c r="I90" s="9">
        <v>4925</v>
      </c>
      <c r="J90" s="10">
        <v>0.25</v>
      </c>
      <c r="K90" s="11">
        <f t="shared" si="1"/>
        <v>1231.25</v>
      </c>
      <c r="L90" s="6" t="s">
        <v>27</v>
      </c>
      <c r="M90" s="6" t="s">
        <v>21</v>
      </c>
      <c r="N90" s="6" t="s">
        <v>22</v>
      </c>
      <c r="O90" s="3"/>
      <c r="P90" s="4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6.5" customHeight="1" x14ac:dyDescent="0.3">
      <c r="A91" s="5">
        <v>45062</v>
      </c>
      <c r="B91" s="6" t="s">
        <v>67</v>
      </c>
      <c r="C91" s="6" t="s">
        <v>15</v>
      </c>
      <c r="D91" s="7" t="s">
        <v>55</v>
      </c>
      <c r="E91" s="6" t="s">
        <v>24</v>
      </c>
      <c r="F91" s="8" t="s">
        <v>18</v>
      </c>
      <c r="G91" s="8" t="str">
        <f t="shared" si="0"/>
        <v>Marketing</v>
      </c>
      <c r="H91" s="8" t="s">
        <v>29</v>
      </c>
      <c r="I91" s="9">
        <v>2945</v>
      </c>
      <c r="J91" s="10">
        <v>0.3</v>
      </c>
      <c r="K91" s="11">
        <f t="shared" si="1"/>
        <v>883.5</v>
      </c>
      <c r="L91" s="6" t="s">
        <v>27</v>
      </c>
      <c r="M91" s="6" t="s">
        <v>46</v>
      </c>
      <c r="N91" s="6" t="s">
        <v>30</v>
      </c>
      <c r="O91" s="3"/>
      <c r="P91" s="4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6.5" customHeight="1" x14ac:dyDescent="0.3">
      <c r="A92" s="5">
        <v>45064</v>
      </c>
      <c r="B92" s="6" t="s">
        <v>67</v>
      </c>
      <c r="C92" s="6" t="s">
        <v>15</v>
      </c>
      <c r="D92" s="7" t="s">
        <v>48</v>
      </c>
      <c r="E92" s="6" t="s">
        <v>17</v>
      </c>
      <c r="F92" s="8" t="s">
        <v>18</v>
      </c>
      <c r="G92" s="8" t="str">
        <f t="shared" si="0"/>
        <v>Marketing</v>
      </c>
      <c r="H92" s="8" t="s">
        <v>26</v>
      </c>
      <c r="I92" s="9">
        <v>3440</v>
      </c>
      <c r="J92" s="10">
        <v>0.3</v>
      </c>
      <c r="K92" s="11">
        <f t="shared" si="1"/>
        <v>1032</v>
      </c>
      <c r="L92" s="6" t="s">
        <v>20</v>
      </c>
      <c r="M92" s="6" t="s">
        <v>46</v>
      </c>
      <c r="N92" s="6" t="s">
        <v>34</v>
      </c>
      <c r="O92" s="3"/>
      <c r="P92" s="4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6.5" customHeight="1" x14ac:dyDescent="0.3">
      <c r="A93" s="5">
        <v>45066</v>
      </c>
      <c r="B93" s="6" t="s">
        <v>67</v>
      </c>
      <c r="C93" s="6" t="s">
        <v>15</v>
      </c>
      <c r="D93" s="7" t="s">
        <v>52</v>
      </c>
      <c r="E93" s="6" t="s">
        <v>17</v>
      </c>
      <c r="F93" s="8" t="s">
        <v>18</v>
      </c>
      <c r="G93" s="8" t="str">
        <f t="shared" si="0"/>
        <v>Marketing</v>
      </c>
      <c r="H93" s="8" t="s">
        <v>42</v>
      </c>
      <c r="I93" s="9">
        <v>2771</v>
      </c>
      <c r="J93" s="10">
        <v>0.3</v>
      </c>
      <c r="K93" s="11">
        <f t="shared" si="1"/>
        <v>831.3</v>
      </c>
      <c r="L93" s="6" t="s">
        <v>20</v>
      </c>
      <c r="M93" s="6" t="s">
        <v>46</v>
      </c>
      <c r="N93" s="6" t="s">
        <v>34</v>
      </c>
      <c r="O93" s="3"/>
      <c r="P93" s="4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6.5" customHeight="1" x14ac:dyDescent="0.3">
      <c r="A94" s="5">
        <v>45066</v>
      </c>
      <c r="B94" s="6" t="s">
        <v>67</v>
      </c>
      <c r="C94" s="6" t="s">
        <v>15</v>
      </c>
      <c r="D94" s="7" t="s">
        <v>47</v>
      </c>
      <c r="E94" s="6" t="s">
        <v>24</v>
      </c>
      <c r="F94" s="8" t="s">
        <v>18</v>
      </c>
      <c r="G94" s="8" t="str">
        <f t="shared" si="0"/>
        <v>Marketing</v>
      </c>
      <c r="H94" s="8" t="s">
        <v>33</v>
      </c>
      <c r="I94" s="9">
        <v>2837</v>
      </c>
      <c r="J94" s="10">
        <v>0.3</v>
      </c>
      <c r="K94" s="11">
        <f t="shared" si="1"/>
        <v>851.1</v>
      </c>
      <c r="L94" s="6" t="s">
        <v>20</v>
      </c>
      <c r="M94" s="6" t="s">
        <v>21</v>
      </c>
      <c r="N94" s="6" t="s">
        <v>37</v>
      </c>
      <c r="O94" s="3"/>
      <c r="P94" s="4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6.5" customHeight="1" x14ac:dyDescent="0.3">
      <c r="A95" s="5">
        <v>45068</v>
      </c>
      <c r="B95" s="6" t="s">
        <v>67</v>
      </c>
      <c r="C95" s="6" t="s">
        <v>15</v>
      </c>
      <c r="D95" s="7" t="s">
        <v>36</v>
      </c>
      <c r="E95" s="6" t="s">
        <v>17</v>
      </c>
      <c r="F95" s="8" t="s">
        <v>18</v>
      </c>
      <c r="G95" s="8" t="str">
        <f t="shared" si="0"/>
        <v>Marketing</v>
      </c>
      <c r="H95" s="8" t="s">
        <v>33</v>
      </c>
      <c r="I95" s="9">
        <v>4942</v>
      </c>
      <c r="J95" s="10">
        <v>0.3</v>
      </c>
      <c r="K95" s="11">
        <f t="shared" si="1"/>
        <v>1482.6</v>
      </c>
      <c r="L95" s="6" t="s">
        <v>20</v>
      </c>
      <c r="M95" s="6" t="s">
        <v>25</v>
      </c>
      <c r="N95" s="6" t="s">
        <v>30</v>
      </c>
      <c r="O95" s="3"/>
      <c r="P95" s="4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6.5" customHeight="1" x14ac:dyDescent="0.3">
      <c r="A96" s="5">
        <v>45068</v>
      </c>
      <c r="B96" s="6" t="s">
        <v>67</v>
      </c>
      <c r="C96" s="6" t="s">
        <v>15</v>
      </c>
      <c r="D96" s="7" t="s">
        <v>66</v>
      </c>
      <c r="E96" s="6" t="s">
        <v>24</v>
      </c>
      <c r="F96" s="8" t="s">
        <v>25</v>
      </c>
      <c r="G96" s="8" t="str">
        <f t="shared" si="0"/>
        <v>Marketing</v>
      </c>
      <c r="H96" s="8" t="s">
        <v>29</v>
      </c>
      <c r="I96" s="9">
        <v>5310</v>
      </c>
      <c r="J96" s="10">
        <v>0.25</v>
      </c>
      <c r="K96" s="11">
        <f t="shared" si="1"/>
        <v>1327.5</v>
      </c>
      <c r="L96" s="6" t="s">
        <v>20</v>
      </c>
      <c r="M96" s="6" t="s">
        <v>46</v>
      </c>
      <c r="N96" s="6" t="s">
        <v>22</v>
      </c>
      <c r="O96" s="3"/>
      <c r="P96" s="4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6.5" customHeight="1" x14ac:dyDescent="0.3">
      <c r="A97" s="5">
        <v>45068</v>
      </c>
      <c r="B97" s="6" t="s">
        <v>67</v>
      </c>
      <c r="C97" s="6" t="s">
        <v>15</v>
      </c>
      <c r="D97" s="7" t="s">
        <v>59</v>
      </c>
      <c r="E97" s="6" t="s">
        <v>24</v>
      </c>
      <c r="F97" s="8" t="s">
        <v>39</v>
      </c>
      <c r="G97" s="8" t="str">
        <f t="shared" si="0"/>
        <v>Design</v>
      </c>
      <c r="H97" s="8" t="s">
        <v>29</v>
      </c>
      <c r="I97" s="9">
        <v>2419</v>
      </c>
      <c r="J97" s="10">
        <v>0.35</v>
      </c>
      <c r="K97" s="11">
        <f t="shared" si="1"/>
        <v>846.65</v>
      </c>
      <c r="L97" s="6" t="s">
        <v>27</v>
      </c>
      <c r="M97" s="6" t="s">
        <v>46</v>
      </c>
      <c r="N97" s="6" t="s">
        <v>37</v>
      </c>
      <c r="O97" s="3"/>
      <c r="P97" s="4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6.5" customHeight="1" x14ac:dyDescent="0.3">
      <c r="A98" s="5">
        <v>45070</v>
      </c>
      <c r="B98" s="6" t="s">
        <v>67</v>
      </c>
      <c r="C98" s="6" t="s">
        <v>15</v>
      </c>
      <c r="D98" s="7" t="s">
        <v>63</v>
      </c>
      <c r="E98" s="6" t="s">
        <v>17</v>
      </c>
      <c r="F98" s="8" t="s">
        <v>32</v>
      </c>
      <c r="G98" s="8" t="str">
        <f t="shared" si="0"/>
        <v>Design</v>
      </c>
      <c r="H98" s="8" t="s">
        <v>19</v>
      </c>
      <c r="I98" s="9">
        <v>3369</v>
      </c>
      <c r="J98" s="10">
        <v>0.4</v>
      </c>
      <c r="K98" s="11">
        <f t="shared" si="1"/>
        <v>1347.6000000000001</v>
      </c>
      <c r="L98" s="6" t="s">
        <v>27</v>
      </c>
      <c r="M98" s="6" t="s">
        <v>25</v>
      </c>
      <c r="N98" s="6" t="s">
        <v>37</v>
      </c>
      <c r="O98" s="3"/>
      <c r="P98" s="4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6.5" customHeight="1" x14ac:dyDescent="0.3">
      <c r="A99" s="5">
        <v>45074</v>
      </c>
      <c r="B99" s="6" t="s">
        <v>67</v>
      </c>
      <c r="C99" s="6" t="s">
        <v>15</v>
      </c>
      <c r="D99" s="7" t="s">
        <v>57</v>
      </c>
      <c r="E99" s="6" t="s">
        <v>24</v>
      </c>
      <c r="F99" s="8" t="s">
        <v>39</v>
      </c>
      <c r="G99" s="8" t="str">
        <f t="shared" si="0"/>
        <v>Design</v>
      </c>
      <c r="H99" s="8" t="s">
        <v>29</v>
      </c>
      <c r="I99" s="9">
        <v>3406</v>
      </c>
      <c r="J99" s="10">
        <v>0.35</v>
      </c>
      <c r="K99" s="11">
        <f t="shared" si="1"/>
        <v>1192.0999999999999</v>
      </c>
      <c r="L99" s="6" t="s">
        <v>20</v>
      </c>
      <c r="M99" s="6" t="s">
        <v>46</v>
      </c>
      <c r="N99" s="6" t="s">
        <v>22</v>
      </c>
      <c r="O99" s="3"/>
      <c r="P99" s="4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6.5" customHeight="1" x14ac:dyDescent="0.3">
      <c r="A100" s="5">
        <v>45076</v>
      </c>
      <c r="B100" s="6" t="s">
        <v>67</v>
      </c>
      <c r="C100" s="6" t="s">
        <v>15</v>
      </c>
      <c r="D100" s="7" t="s">
        <v>57</v>
      </c>
      <c r="E100" s="6" t="s">
        <v>24</v>
      </c>
      <c r="F100" s="8" t="s">
        <v>32</v>
      </c>
      <c r="G100" s="8" t="str">
        <f t="shared" si="0"/>
        <v>Design</v>
      </c>
      <c r="H100" s="8" t="s">
        <v>33</v>
      </c>
      <c r="I100" s="9">
        <v>3189</v>
      </c>
      <c r="J100" s="10">
        <v>0.4</v>
      </c>
      <c r="K100" s="11">
        <f t="shared" si="1"/>
        <v>1275.6000000000001</v>
      </c>
      <c r="L100" s="6" t="s">
        <v>27</v>
      </c>
      <c r="M100" s="6" t="s">
        <v>46</v>
      </c>
      <c r="N100" s="6" t="s">
        <v>22</v>
      </c>
      <c r="O100" s="3"/>
      <c r="P100" s="4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6.5" customHeight="1" x14ac:dyDescent="0.3">
      <c r="A101" s="5">
        <v>45077</v>
      </c>
      <c r="B101" s="6" t="s">
        <v>67</v>
      </c>
      <c r="C101" s="6" t="s">
        <v>15</v>
      </c>
      <c r="D101" s="7" t="s">
        <v>62</v>
      </c>
      <c r="E101" s="6" t="s">
        <v>24</v>
      </c>
      <c r="F101" s="8" t="s">
        <v>25</v>
      </c>
      <c r="G101" s="8" t="str">
        <f t="shared" si="0"/>
        <v>Marketing</v>
      </c>
      <c r="H101" s="8" t="s">
        <v>33</v>
      </c>
      <c r="I101" s="9">
        <v>3286</v>
      </c>
      <c r="J101" s="10">
        <v>0.25</v>
      </c>
      <c r="K101" s="11">
        <f t="shared" si="1"/>
        <v>821.5</v>
      </c>
      <c r="L101" s="6" t="s">
        <v>27</v>
      </c>
      <c r="M101" s="6" t="s">
        <v>25</v>
      </c>
      <c r="N101" s="6" t="s">
        <v>37</v>
      </c>
      <c r="O101" s="3"/>
      <c r="P101" s="4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6.5" customHeight="1" x14ac:dyDescent="0.3">
      <c r="A102" s="5">
        <v>45081</v>
      </c>
      <c r="B102" s="6" t="s">
        <v>69</v>
      </c>
      <c r="C102" s="6" t="s">
        <v>15</v>
      </c>
      <c r="D102" s="7" t="s">
        <v>35</v>
      </c>
      <c r="E102" s="6" t="s">
        <v>24</v>
      </c>
      <c r="F102" s="8" t="s">
        <v>39</v>
      </c>
      <c r="G102" s="8" t="str">
        <f t="shared" si="0"/>
        <v>Design</v>
      </c>
      <c r="H102" s="8" t="s">
        <v>26</v>
      </c>
      <c r="I102" s="9">
        <v>4390</v>
      </c>
      <c r="J102" s="10">
        <v>0.35</v>
      </c>
      <c r="K102" s="11">
        <f t="shared" si="1"/>
        <v>1536.5</v>
      </c>
      <c r="L102" s="6" t="s">
        <v>27</v>
      </c>
      <c r="M102" s="6" t="s">
        <v>21</v>
      </c>
      <c r="N102" s="6" t="s">
        <v>22</v>
      </c>
      <c r="O102" s="3"/>
      <c r="P102" s="4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6.5" customHeight="1" x14ac:dyDescent="0.3">
      <c r="A103" s="5">
        <v>45085</v>
      </c>
      <c r="B103" s="6" t="s">
        <v>69</v>
      </c>
      <c r="C103" s="6" t="s">
        <v>15</v>
      </c>
      <c r="D103" s="7" t="s">
        <v>40</v>
      </c>
      <c r="E103" s="6" t="s">
        <v>17</v>
      </c>
      <c r="F103" s="8" t="s">
        <v>39</v>
      </c>
      <c r="G103" s="8" t="str">
        <f t="shared" si="0"/>
        <v>Design</v>
      </c>
      <c r="H103" s="8" t="s">
        <v>42</v>
      </c>
      <c r="I103" s="9">
        <v>3574</v>
      </c>
      <c r="J103" s="10">
        <v>0.35</v>
      </c>
      <c r="K103" s="11">
        <f t="shared" si="1"/>
        <v>1250.8999999999999</v>
      </c>
      <c r="L103" s="6" t="s">
        <v>20</v>
      </c>
      <c r="M103" s="6" t="s">
        <v>46</v>
      </c>
      <c r="N103" s="6" t="s">
        <v>30</v>
      </c>
      <c r="O103" s="3"/>
      <c r="P103" s="4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6.5" customHeight="1" x14ac:dyDescent="0.3">
      <c r="A104" s="5">
        <v>45086</v>
      </c>
      <c r="B104" s="6" t="s">
        <v>69</v>
      </c>
      <c r="C104" s="6" t="s">
        <v>15</v>
      </c>
      <c r="D104" s="7" t="s">
        <v>44</v>
      </c>
      <c r="E104" s="6" t="s">
        <v>24</v>
      </c>
      <c r="F104" s="8" t="s">
        <v>32</v>
      </c>
      <c r="G104" s="8" t="str">
        <f t="shared" si="0"/>
        <v>Design</v>
      </c>
      <c r="H104" s="8" t="s">
        <v>29</v>
      </c>
      <c r="I104" s="9">
        <v>5328</v>
      </c>
      <c r="J104" s="10">
        <v>0.4</v>
      </c>
      <c r="K104" s="11">
        <f t="shared" si="1"/>
        <v>2131.2000000000003</v>
      </c>
      <c r="L104" s="6" t="s">
        <v>27</v>
      </c>
      <c r="M104" s="6" t="s">
        <v>21</v>
      </c>
      <c r="N104" s="6" t="s">
        <v>30</v>
      </c>
      <c r="O104" s="3"/>
      <c r="P104" s="4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6.5" customHeight="1" x14ac:dyDescent="0.3">
      <c r="A105" s="5">
        <v>45088</v>
      </c>
      <c r="B105" s="6" t="s">
        <v>69</v>
      </c>
      <c r="C105" s="6" t="s">
        <v>15</v>
      </c>
      <c r="D105" s="7" t="s">
        <v>49</v>
      </c>
      <c r="E105" s="6" t="s">
        <v>17</v>
      </c>
      <c r="F105" s="8" t="s">
        <v>41</v>
      </c>
      <c r="G105" s="8" t="str">
        <f t="shared" si="0"/>
        <v>Copywriting</v>
      </c>
      <c r="H105" s="8" t="s">
        <v>29</v>
      </c>
      <c r="I105" s="9">
        <v>3848</v>
      </c>
      <c r="J105" s="10">
        <v>0.25</v>
      </c>
      <c r="K105" s="11">
        <f t="shared" si="1"/>
        <v>962</v>
      </c>
      <c r="L105" s="6" t="s">
        <v>27</v>
      </c>
      <c r="M105" s="6" t="s">
        <v>21</v>
      </c>
      <c r="N105" s="6" t="s">
        <v>22</v>
      </c>
      <c r="O105" s="3"/>
      <c r="P105" s="4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6.5" customHeight="1" x14ac:dyDescent="0.3">
      <c r="A106" s="5">
        <v>45088</v>
      </c>
      <c r="B106" s="6" t="s">
        <v>69</v>
      </c>
      <c r="C106" s="6" t="s">
        <v>15</v>
      </c>
      <c r="D106" s="7" t="s">
        <v>16</v>
      </c>
      <c r="E106" s="6" t="s">
        <v>17</v>
      </c>
      <c r="F106" s="8" t="s">
        <v>25</v>
      </c>
      <c r="G106" s="8" t="str">
        <f t="shared" si="0"/>
        <v>Marketing</v>
      </c>
      <c r="H106" s="8" t="s">
        <v>33</v>
      </c>
      <c r="I106" s="9">
        <v>2863</v>
      </c>
      <c r="J106" s="10">
        <v>0.25</v>
      </c>
      <c r="K106" s="11">
        <f t="shared" si="1"/>
        <v>715.75</v>
      </c>
      <c r="L106" s="6" t="s">
        <v>27</v>
      </c>
      <c r="M106" s="6" t="s">
        <v>21</v>
      </c>
      <c r="N106" s="6" t="s">
        <v>22</v>
      </c>
      <c r="O106" s="3"/>
      <c r="P106" s="4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6.5" customHeight="1" x14ac:dyDescent="0.3">
      <c r="A107" s="5">
        <v>45088</v>
      </c>
      <c r="B107" s="6" t="s">
        <v>69</v>
      </c>
      <c r="C107" s="6" t="s">
        <v>15</v>
      </c>
      <c r="D107" s="7" t="s">
        <v>44</v>
      </c>
      <c r="E107" s="6" t="s">
        <v>24</v>
      </c>
      <c r="F107" s="8" t="s">
        <v>32</v>
      </c>
      <c r="G107" s="8" t="str">
        <f t="shared" si="0"/>
        <v>Design</v>
      </c>
      <c r="H107" s="8" t="s">
        <v>19</v>
      </c>
      <c r="I107" s="9">
        <v>5052</v>
      </c>
      <c r="J107" s="10">
        <v>0.4</v>
      </c>
      <c r="K107" s="11">
        <f t="shared" si="1"/>
        <v>2020.8000000000002</v>
      </c>
      <c r="L107" s="6" t="s">
        <v>27</v>
      </c>
      <c r="M107" s="6" t="s">
        <v>46</v>
      </c>
      <c r="N107" s="6" t="s">
        <v>30</v>
      </c>
      <c r="O107" s="3"/>
      <c r="P107" s="4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6.5" customHeight="1" x14ac:dyDescent="0.3">
      <c r="A108" s="5">
        <v>45090</v>
      </c>
      <c r="B108" s="6" t="s">
        <v>69</v>
      </c>
      <c r="C108" s="6" t="s">
        <v>15</v>
      </c>
      <c r="D108" s="7" t="s">
        <v>63</v>
      </c>
      <c r="E108" s="6" t="s">
        <v>17</v>
      </c>
      <c r="F108" s="8" t="s">
        <v>18</v>
      </c>
      <c r="G108" s="8" t="str">
        <f t="shared" si="0"/>
        <v>Marketing</v>
      </c>
      <c r="H108" s="8" t="s">
        <v>42</v>
      </c>
      <c r="I108" s="9">
        <v>3141</v>
      </c>
      <c r="J108" s="10">
        <v>0.3</v>
      </c>
      <c r="K108" s="11">
        <f t="shared" si="1"/>
        <v>942.3</v>
      </c>
      <c r="L108" s="6" t="s">
        <v>20</v>
      </c>
      <c r="M108" s="6" t="s">
        <v>25</v>
      </c>
      <c r="N108" s="6" t="s">
        <v>22</v>
      </c>
      <c r="O108" s="3"/>
      <c r="P108" s="4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6.5" customHeight="1" x14ac:dyDescent="0.3">
      <c r="A109" s="5">
        <v>45091</v>
      </c>
      <c r="B109" s="6" t="s">
        <v>69</v>
      </c>
      <c r="C109" s="6" t="s">
        <v>15</v>
      </c>
      <c r="D109" s="7" t="s">
        <v>70</v>
      </c>
      <c r="E109" s="6" t="s">
        <v>24</v>
      </c>
      <c r="F109" s="8" t="s">
        <v>39</v>
      </c>
      <c r="G109" s="8" t="str">
        <f t="shared" si="0"/>
        <v>Design</v>
      </c>
      <c r="H109" s="8" t="s">
        <v>26</v>
      </c>
      <c r="I109" s="9">
        <v>2898</v>
      </c>
      <c r="J109" s="10">
        <v>0.35</v>
      </c>
      <c r="K109" s="11">
        <f t="shared" si="1"/>
        <v>1014.3</v>
      </c>
      <c r="L109" s="6" t="s">
        <v>20</v>
      </c>
      <c r="M109" s="6" t="s">
        <v>25</v>
      </c>
      <c r="N109" s="6" t="s">
        <v>30</v>
      </c>
      <c r="O109" s="3"/>
      <c r="P109" s="4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6.5" customHeight="1" x14ac:dyDescent="0.3">
      <c r="A110" s="5">
        <v>45092</v>
      </c>
      <c r="B110" s="6" t="s">
        <v>69</v>
      </c>
      <c r="C110" s="6" t="s">
        <v>15</v>
      </c>
      <c r="D110" s="7" t="s">
        <v>16</v>
      </c>
      <c r="E110" s="6" t="s">
        <v>17</v>
      </c>
      <c r="F110" s="8" t="s">
        <v>39</v>
      </c>
      <c r="G110" s="8" t="str">
        <f t="shared" si="0"/>
        <v>Design</v>
      </c>
      <c r="H110" s="8" t="s">
        <v>29</v>
      </c>
      <c r="I110" s="9">
        <v>5404</v>
      </c>
      <c r="J110" s="10">
        <v>0.35</v>
      </c>
      <c r="K110" s="11">
        <f t="shared" si="1"/>
        <v>1891.3999999999999</v>
      </c>
      <c r="L110" s="6" t="s">
        <v>20</v>
      </c>
      <c r="M110" s="6" t="s">
        <v>21</v>
      </c>
      <c r="N110" s="6" t="s">
        <v>34</v>
      </c>
      <c r="O110" s="3"/>
      <c r="P110" s="4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6.5" customHeight="1" x14ac:dyDescent="0.3">
      <c r="A111" s="5">
        <v>45094</v>
      </c>
      <c r="B111" s="6" t="s">
        <v>69</v>
      </c>
      <c r="C111" s="6" t="s">
        <v>15</v>
      </c>
      <c r="D111" s="7" t="s">
        <v>68</v>
      </c>
      <c r="E111" s="6" t="s">
        <v>24</v>
      </c>
      <c r="F111" s="8" t="s">
        <v>41</v>
      </c>
      <c r="G111" s="8" t="str">
        <f t="shared" si="0"/>
        <v>Copywriting</v>
      </c>
      <c r="H111" s="8" t="s">
        <v>26</v>
      </c>
      <c r="I111" s="9">
        <v>4622</v>
      </c>
      <c r="J111" s="10">
        <v>0.25</v>
      </c>
      <c r="K111" s="11">
        <f t="shared" si="1"/>
        <v>1155.5</v>
      </c>
      <c r="L111" s="6" t="s">
        <v>20</v>
      </c>
      <c r="M111" s="6" t="s">
        <v>25</v>
      </c>
      <c r="N111" s="6" t="s">
        <v>34</v>
      </c>
      <c r="O111" s="3"/>
      <c r="P111" s="4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6.5" customHeight="1" x14ac:dyDescent="0.3">
      <c r="A112" s="5">
        <v>45095</v>
      </c>
      <c r="B112" s="6" t="s">
        <v>69</v>
      </c>
      <c r="C112" s="6" t="s">
        <v>15</v>
      </c>
      <c r="D112" s="7" t="s">
        <v>56</v>
      </c>
      <c r="E112" s="6" t="s">
        <v>17</v>
      </c>
      <c r="F112" s="8" t="s">
        <v>18</v>
      </c>
      <c r="G112" s="8" t="str">
        <f t="shared" si="0"/>
        <v>Marketing</v>
      </c>
      <c r="H112" s="8" t="s">
        <v>19</v>
      </c>
      <c r="I112" s="9">
        <v>3171</v>
      </c>
      <c r="J112" s="10">
        <v>0.3</v>
      </c>
      <c r="K112" s="11">
        <f t="shared" si="1"/>
        <v>951.3</v>
      </c>
      <c r="L112" s="6" t="s">
        <v>27</v>
      </c>
      <c r="M112" s="6" t="s">
        <v>46</v>
      </c>
      <c r="N112" s="6" t="s">
        <v>34</v>
      </c>
      <c r="O112" s="3"/>
      <c r="P112" s="4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6.5" customHeight="1" x14ac:dyDescent="0.3">
      <c r="A113" s="5">
        <v>45096</v>
      </c>
      <c r="B113" s="6" t="s">
        <v>69</v>
      </c>
      <c r="C113" s="6" t="s">
        <v>15</v>
      </c>
      <c r="D113" s="7" t="s">
        <v>63</v>
      </c>
      <c r="E113" s="6" t="s">
        <v>17</v>
      </c>
      <c r="F113" s="8" t="s">
        <v>39</v>
      </c>
      <c r="G113" s="8" t="str">
        <f t="shared" si="0"/>
        <v>Design</v>
      </c>
      <c r="H113" s="8" t="s">
        <v>33</v>
      </c>
      <c r="I113" s="9">
        <v>5328</v>
      </c>
      <c r="J113" s="10">
        <v>0.35</v>
      </c>
      <c r="K113" s="11">
        <f t="shared" si="1"/>
        <v>1864.8</v>
      </c>
      <c r="L113" s="6" t="s">
        <v>20</v>
      </c>
      <c r="M113" s="6" t="s">
        <v>25</v>
      </c>
      <c r="N113" s="6" t="s">
        <v>34</v>
      </c>
      <c r="O113" s="3"/>
      <c r="P113" s="4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6.5" customHeight="1" x14ac:dyDescent="0.3">
      <c r="A114" s="5">
        <v>45096</v>
      </c>
      <c r="B114" s="6" t="s">
        <v>69</v>
      </c>
      <c r="C114" s="6" t="s">
        <v>15</v>
      </c>
      <c r="D114" s="7" t="s">
        <v>31</v>
      </c>
      <c r="E114" s="6" t="s">
        <v>24</v>
      </c>
      <c r="F114" s="8" t="s">
        <v>25</v>
      </c>
      <c r="G114" s="8" t="str">
        <f t="shared" si="0"/>
        <v>Marketing</v>
      </c>
      <c r="H114" s="8" t="s">
        <v>29</v>
      </c>
      <c r="I114" s="9">
        <v>2611</v>
      </c>
      <c r="J114" s="10">
        <v>0.25</v>
      </c>
      <c r="K114" s="11">
        <f t="shared" si="1"/>
        <v>652.75</v>
      </c>
      <c r="L114" s="6" t="s">
        <v>20</v>
      </c>
      <c r="M114" s="6" t="s">
        <v>46</v>
      </c>
      <c r="N114" s="6" t="s">
        <v>37</v>
      </c>
      <c r="O114" s="3"/>
      <c r="P114" s="4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6.5" customHeight="1" x14ac:dyDescent="0.3">
      <c r="A115" s="5">
        <v>45098</v>
      </c>
      <c r="B115" s="6" t="s">
        <v>69</v>
      </c>
      <c r="C115" s="6" t="s">
        <v>15</v>
      </c>
      <c r="D115" s="7" t="s">
        <v>49</v>
      </c>
      <c r="E115" s="6" t="s">
        <v>17</v>
      </c>
      <c r="F115" s="8" t="s">
        <v>41</v>
      </c>
      <c r="G115" s="8" t="str">
        <f t="shared" si="0"/>
        <v>Copywriting</v>
      </c>
      <c r="H115" s="8" t="s">
        <v>29</v>
      </c>
      <c r="I115" s="9">
        <v>5613</v>
      </c>
      <c r="J115" s="10">
        <v>0.25</v>
      </c>
      <c r="K115" s="11">
        <f t="shared" si="1"/>
        <v>1403.25</v>
      </c>
      <c r="L115" s="6" t="s">
        <v>20</v>
      </c>
      <c r="M115" s="6" t="s">
        <v>46</v>
      </c>
      <c r="N115" s="6" t="s">
        <v>37</v>
      </c>
      <c r="O115" s="3"/>
      <c r="P115" s="4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6.5" customHeight="1" x14ac:dyDescent="0.3">
      <c r="A116" s="5">
        <v>45098</v>
      </c>
      <c r="B116" s="6" t="s">
        <v>69</v>
      </c>
      <c r="C116" s="6" t="s">
        <v>15</v>
      </c>
      <c r="D116" s="7" t="s">
        <v>40</v>
      </c>
      <c r="E116" s="6" t="s">
        <v>17</v>
      </c>
      <c r="F116" s="8" t="s">
        <v>41</v>
      </c>
      <c r="G116" s="8" t="str">
        <f t="shared" si="0"/>
        <v>Copywriting</v>
      </c>
      <c r="H116" s="8" t="s">
        <v>33</v>
      </c>
      <c r="I116" s="9">
        <v>2953</v>
      </c>
      <c r="J116" s="10">
        <v>0.25</v>
      </c>
      <c r="K116" s="11">
        <f t="shared" si="1"/>
        <v>738.25</v>
      </c>
      <c r="L116" s="6" t="s">
        <v>20</v>
      </c>
      <c r="M116" s="6" t="s">
        <v>21</v>
      </c>
      <c r="N116" s="6" t="s">
        <v>37</v>
      </c>
      <c r="O116" s="3"/>
      <c r="P116" s="4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6.5" customHeight="1" x14ac:dyDescent="0.3">
      <c r="A117" s="5">
        <v>45099</v>
      </c>
      <c r="B117" s="6" t="s">
        <v>69</v>
      </c>
      <c r="C117" s="6" t="s">
        <v>15</v>
      </c>
      <c r="D117" s="7" t="s">
        <v>55</v>
      </c>
      <c r="E117" s="6" t="s">
        <v>24</v>
      </c>
      <c r="F117" s="8" t="s">
        <v>39</v>
      </c>
      <c r="G117" s="8" t="str">
        <f t="shared" si="0"/>
        <v>Design</v>
      </c>
      <c r="H117" s="8" t="s">
        <v>19</v>
      </c>
      <c r="I117" s="9">
        <v>3049</v>
      </c>
      <c r="J117" s="10">
        <v>0.35</v>
      </c>
      <c r="K117" s="11">
        <f t="shared" si="1"/>
        <v>1067.1499999999999</v>
      </c>
      <c r="L117" s="6" t="s">
        <v>20</v>
      </c>
      <c r="M117" s="6" t="s">
        <v>21</v>
      </c>
      <c r="N117" s="6" t="s">
        <v>37</v>
      </c>
      <c r="O117" s="3"/>
      <c r="P117" s="4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6.5" customHeight="1" x14ac:dyDescent="0.3">
      <c r="A118" s="5">
        <v>45100</v>
      </c>
      <c r="B118" s="6" t="s">
        <v>69</v>
      </c>
      <c r="C118" s="6" t="s">
        <v>15</v>
      </c>
      <c r="D118" s="7" t="s">
        <v>50</v>
      </c>
      <c r="E118" s="6" t="s">
        <v>17</v>
      </c>
      <c r="F118" s="8" t="s">
        <v>18</v>
      </c>
      <c r="G118" s="8" t="str">
        <f t="shared" si="0"/>
        <v>Marketing</v>
      </c>
      <c r="H118" s="8" t="s">
        <v>33</v>
      </c>
      <c r="I118" s="9">
        <v>3853</v>
      </c>
      <c r="J118" s="10">
        <v>0.3</v>
      </c>
      <c r="K118" s="11">
        <f t="shared" si="1"/>
        <v>1155.8999999999999</v>
      </c>
      <c r="L118" s="6" t="s">
        <v>20</v>
      </c>
      <c r="M118" s="6" t="s">
        <v>25</v>
      </c>
      <c r="N118" s="6" t="s">
        <v>37</v>
      </c>
      <c r="O118" s="3"/>
      <c r="P118" s="4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6.5" customHeight="1" x14ac:dyDescent="0.3">
      <c r="A119" s="5">
        <v>45103</v>
      </c>
      <c r="B119" s="6" t="s">
        <v>69</v>
      </c>
      <c r="C119" s="6" t="s">
        <v>15</v>
      </c>
      <c r="D119" s="7" t="s">
        <v>28</v>
      </c>
      <c r="E119" s="6" t="s">
        <v>24</v>
      </c>
      <c r="F119" s="8" t="s">
        <v>32</v>
      </c>
      <c r="G119" s="8" t="str">
        <f t="shared" si="0"/>
        <v>Design</v>
      </c>
      <c r="H119" s="8" t="s">
        <v>26</v>
      </c>
      <c r="I119" s="9">
        <v>5066</v>
      </c>
      <c r="J119" s="10">
        <v>0.4</v>
      </c>
      <c r="K119" s="11">
        <f t="shared" si="1"/>
        <v>2026.4</v>
      </c>
      <c r="L119" s="6" t="s">
        <v>20</v>
      </c>
      <c r="M119" s="6" t="s">
        <v>21</v>
      </c>
      <c r="N119" s="6" t="s">
        <v>30</v>
      </c>
      <c r="O119" s="3"/>
      <c r="P119" s="4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6.5" customHeight="1" x14ac:dyDescent="0.3">
      <c r="A120" s="5">
        <v>45104</v>
      </c>
      <c r="B120" s="6" t="s">
        <v>69</v>
      </c>
      <c r="C120" s="6" t="s">
        <v>15</v>
      </c>
      <c r="D120" s="7" t="s">
        <v>43</v>
      </c>
      <c r="E120" s="6" t="s">
        <v>24</v>
      </c>
      <c r="F120" s="8" t="s">
        <v>18</v>
      </c>
      <c r="G120" s="8" t="str">
        <f t="shared" si="0"/>
        <v>Marketing</v>
      </c>
      <c r="H120" s="8" t="s">
        <v>42</v>
      </c>
      <c r="I120" s="9">
        <v>4429</v>
      </c>
      <c r="J120" s="10">
        <v>0.3</v>
      </c>
      <c r="K120" s="11">
        <f t="shared" si="1"/>
        <v>1328.7</v>
      </c>
      <c r="L120" s="6" t="s">
        <v>20</v>
      </c>
      <c r="M120" s="6" t="s">
        <v>25</v>
      </c>
      <c r="N120" s="6" t="s">
        <v>34</v>
      </c>
      <c r="O120" s="3"/>
      <c r="P120" s="4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6.5" customHeight="1" x14ac:dyDescent="0.3">
      <c r="A121" s="5">
        <v>45106</v>
      </c>
      <c r="B121" s="6" t="s">
        <v>69</v>
      </c>
      <c r="C121" s="6" t="s">
        <v>15</v>
      </c>
      <c r="D121" s="7" t="s">
        <v>60</v>
      </c>
      <c r="E121" s="6" t="s">
        <v>24</v>
      </c>
      <c r="F121" s="8" t="s">
        <v>18</v>
      </c>
      <c r="G121" s="8" t="str">
        <f t="shared" si="0"/>
        <v>Marketing</v>
      </c>
      <c r="H121" s="8" t="s">
        <v>29</v>
      </c>
      <c r="I121" s="9">
        <v>2663</v>
      </c>
      <c r="J121" s="10">
        <v>0.3</v>
      </c>
      <c r="K121" s="11">
        <f t="shared" si="1"/>
        <v>798.9</v>
      </c>
      <c r="L121" s="6" t="s">
        <v>20</v>
      </c>
      <c r="M121" s="6" t="s">
        <v>25</v>
      </c>
      <c r="N121" s="6" t="s">
        <v>30</v>
      </c>
      <c r="O121" s="3"/>
      <c r="P121" s="4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6.5" customHeight="1" x14ac:dyDescent="0.3">
      <c r="A122" s="5">
        <v>45108</v>
      </c>
      <c r="B122" s="6" t="s">
        <v>71</v>
      </c>
      <c r="C122" s="6" t="s">
        <v>15</v>
      </c>
      <c r="D122" s="7" t="s">
        <v>40</v>
      </c>
      <c r="E122" s="6" t="s">
        <v>17</v>
      </c>
      <c r="F122" s="8" t="s">
        <v>41</v>
      </c>
      <c r="G122" s="8" t="str">
        <f t="shared" si="0"/>
        <v>Copywriting</v>
      </c>
      <c r="H122" s="8" t="s">
        <v>33</v>
      </c>
      <c r="I122" s="9">
        <v>5028</v>
      </c>
      <c r="J122" s="10">
        <v>0.25</v>
      </c>
      <c r="K122" s="11">
        <f t="shared" si="1"/>
        <v>1257</v>
      </c>
      <c r="L122" s="6" t="s">
        <v>27</v>
      </c>
      <c r="M122" s="6" t="s">
        <v>46</v>
      </c>
      <c r="N122" s="6" t="s">
        <v>30</v>
      </c>
      <c r="O122" s="3"/>
      <c r="P122" s="4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6.5" customHeight="1" x14ac:dyDescent="0.3">
      <c r="A123" s="5">
        <v>45109</v>
      </c>
      <c r="B123" s="6" t="s">
        <v>71</v>
      </c>
      <c r="C123" s="6" t="s">
        <v>15</v>
      </c>
      <c r="D123" s="7" t="s">
        <v>28</v>
      </c>
      <c r="E123" s="6" t="s">
        <v>24</v>
      </c>
      <c r="F123" s="8" t="s">
        <v>25</v>
      </c>
      <c r="G123" s="8" t="str">
        <f t="shared" si="0"/>
        <v>Marketing</v>
      </c>
      <c r="H123" s="8" t="s">
        <v>33</v>
      </c>
      <c r="I123" s="9">
        <v>5871</v>
      </c>
      <c r="J123" s="10">
        <v>0.25</v>
      </c>
      <c r="K123" s="11">
        <f t="shared" si="1"/>
        <v>1467.75</v>
      </c>
      <c r="L123" s="6" t="s">
        <v>27</v>
      </c>
      <c r="M123" s="6" t="s">
        <v>21</v>
      </c>
      <c r="N123" s="6" t="s">
        <v>22</v>
      </c>
      <c r="O123" s="3"/>
      <c r="P123" s="4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6.5" customHeight="1" x14ac:dyDescent="0.3">
      <c r="A124" s="5">
        <v>45110</v>
      </c>
      <c r="B124" s="6" t="s">
        <v>71</v>
      </c>
      <c r="C124" s="6" t="s">
        <v>15</v>
      </c>
      <c r="D124" s="7" t="s">
        <v>52</v>
      </c>
      <c r="E124" s="6" t="s">
        <v>17</v>
      </c>
      <c r="F124" s="8" t="s">
        <v>32</v>
      </c>
      <c r="G124" s="8" t="str">
        <f t="shared" si="0"/>
        <v>Design</v>
      </c>
      <c r="H124" s="8" t="s">
        <v>29</v>
      </c>
      <c r="I124" s="9">
        <v>6735</v>
      </c>
      <c r="J124" s="10">
        <v>0.4</v>
      </c>
      <c r="K124" s="11">
        <f t="shared" si="1"/>
        <v>2694</v>
      </c>
      <c r="L124" s="6" t="s">
        <v>20</v>
      </c>
      <c r="M124" s="6" t="s">
        <v>46</v>
      </c>
      <c r="N124" s="6" t="s">
        <v>30</v>
      </c>
      <c r="O124" s="3"/>
      <c r="P124" s="4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6.5" customHeight="1" x14ac:dyDescent="0.3">
      <c r="A125" s="5">
        <v>45110</v>
      </c>
      <c r="B125" s="6" t="s">
        <v>71</v>
      </c>
      <c r="C125" s="6" t="s">
        <v>15</v>
      </c>
      <c r="D125" s="7" t="s">
        <v>40</v>
      </c>
      <c r="E125" s="6" t="s">
        <v>17</v>
      </c>
      <c r="F125" s="8" t="s">
        <v>32</v>
      </c>
      <c r="G125" s="8" t="str">
        <f t="shared" si="0"/>
        <v>Design</v>
      </c>
      <c r="H125" s="8" t="s">
        <v>42</v>
      </c>
      <c r="I125" s="9">
        <v>7042</v>
      </c>
      <c r="J125" s="10">
        <v>0.4</v>
      </c>
      <c r="K125" s="11">
        <f t="shared" si="1"/>
        <v>2816.8</v>
      </c>
      <c r="L125" s="6" t="s">
        <v>20</v>
      </c>
      <c r="M125" s="6" t="s">
        <v>21</v>
      </c>
      <c r="N125" s="6" t="s">
        <v>37</v>
      </c>
      <c r="O125" s="3"/>
      <c r="P125" s="4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6.5" customHeight="1" x14ac:dyDescent="0.3">
      <c r="A126" s="5">
        <v>45113</v>
      </c>
      <c r="B126" s="6" t="s">
        <v>71</v>
      </c>
      <c r="C126" s="6" t="s">
        <v>15</v>
      </c>
      <c r="D126" s="7" t="s">
        <v>38</v>
      </c>
      <c r="E126" s="6" t="s">
        <v>24</v>
      </c>
      <c r="F126" s="8" t="s">
        <v>18</v>
      </c>
      <c r="G126" s="8" t="str">
        <f t="shared" si="0"/>
        <v>Marketing</v>
      </c>
      <c r="H126" s="8" t="s">
        <v>29</v>
      </c>
      <c r="I126" s="9">
        <v>6997</v>
      </c>
      <c r="J126" s="10">
        <v>0.3</v>
      </c>
      <c r="K126" s="11">
        <f t="shared" si="1"/>
        <v>2099.1</v>
      </c>
      <c r="L126" s="6" t="s">
        <v>20</v>
      </c>
      <c r="M126" s="6" t="s">
        <v>46</v>
      </c>
      <c r="N126" s="6" t="s">
        <v>30</v>
      </c>
      <c r="O126" s="3"/>
      <c r="P126" s="4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6.5" customHeight="1" x14ac:dyDescent="0.3">
      <c r="A127" s="5">
        <v>45117</v>
      </c>
      <c r="B127" s="6" t="s">
        <v>71</v>
      </c>
      <c r="C127" s="6" t="s">
        <v>15</v>
      </c>
      <c r="D127" s="7" t="s">
        <v>50</v>
      </c>
      <c r="E127" s="6" t="s">
        <v>17</v>
      </c>
      <c r="F127" s="8" t="s">
        <v>41</v>
      </c>
      <c r="G127" s="8" t="str">
        <f t="shared" si="0"/>
        <v>Copywriting</v>
      </c>
      <c r="H127" s="8" t="s">
        <v>33</v>
      </c>
      <c r="I127" s="9">
        <v>6913</v>
      </c>
      <c r="J127" s="10">
        <v>0.25</v>
      </c>
      <c r="K127" s="11">
        <f t="shared" si="1"/>
        <v>1728.25</v>
      </c>
      <c r="L127" s="6" t="s">
        <v>27</v>
      </c>
      <c r="M127" s="6" t="s">
        <v>25</v>
      </c>
      <c r="N127" s="6" t="s">
        <v>34</v>
      </c>
      <c r="O127" s="3"/>
      <c r="P127" s="4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6.5" customHeight="1" x14ac:dyDescent="0.3">
      <c r="A128" s="5">
        <v>45118</v>
      </c>
      <c r="B128" s="6" t="s">
        <v>71</v>
      </c>
      <c r="C128" s="6" t="s">
        <v>15</v>
      </c>
      <c r="D128" s="7" t="s">
        <v>52</v>
      </c>
      <c r="E128" s="6" t="s">
        <v>17</v>
      </c>
      <c r="F128" s="8" t="s">
        <v>41</v>
      </c>
      <c r="G128" s="8" t="str">
        <f t="shared" si="0"/>
        <v>Copywriting</v>
      </c>
      <c r="H128" s="8" t="s">
        <v>19</v>
      </c>
      <c r="I128" s="9">
        <v>6768</v>
      </c>
      <c r="J128" s="10">
        <v>0.25</v>
      </c>
      <c r="K128" s="11">
        <f t="shared" si="1"/>
        <v>1692</v>
      </c>
      <c r="L128" s="6" t="s">
        <v>20</v>
      </c>
      <c r="M128" s="6" t="s">
        <v>46</v>
      </c>
      <c r="N128" s="6" t="s">
        <v>22</v>
      </c>
      <c r="O128" s="3"/>
      <c r="P128" s="4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6.5" customHeight="1" x14ac:dyDescent="0.3">
      <c r="A129" s="5">
        <v>45118</v>
      </c>
      <c r="B129" s="6" t="s">
        <v>71</v>
      </c>
      <c r="C129" s="6" t="s">
        <v>15</v>
      </c>
      <c r="D129" s="7" t="s">
        <v>28</v>
      </c>
      <c r="E129" s="6" t="s">
        <v>24</v>
      </c>
      <c r="F129" s="8" t="s">
        <v>41</v>
      </c>
      <c r="G129" s="8" t="str">
        <f t="shared" si="0"/>
        <v>Copywriting</v>
      </c>
      <c r="H129" s="8" t="s">
        <v>42</v>
      </c>
      <c r="I129" s="9">
        <v>5624</v>
      </c>
      <c r="J129" s="10">
        <v>0.25</v>
      </c>
      <c r="K129" s="11">
        <f t="shared" si="1"/>
        <v>1406</v>
      </c>
      <c r="L129" s="6" t="s">
        <v>20</v>
      </c>
      <c r="M129" s="6" t="s">
        <v>46</v>
      </c>
      <c r="N129" s="6" t="s">
        <v>22</v>
      </c>
      <c r="O129" s="3"/>
      <c r="P129" s="4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6.5" customHeight="1" x14ac:dyDescent="0.3">
      <c r="A130" s="5">
        <v>45118</v>
      </c>
      <c r="B130" s="6" t="s">
        <v>71</v>
      </c>
      <c r="C130" s="6" t="s">
        <v>15</v>
      </c>
      <c r="D130" s="7" t="s">
        <v>28</v>
      </c>
      <c r="E130" s="6" t="s">
        <v>24</v>
      </c>
      <c r="F130" s="8" t="s">
        <v>32</v>
      </c>
      <c r="G130" s="8" t="str">
        <f t="shared" si="0"/>
        <v>Design</v>
      </c>
      <c r="H130" s="8" t="s">
        <v>33</v>
      </c>
      <c r="I130" s="9">
        <v>7247</v>
      </c>
      <c r="J130" s="10">
        <v>0.4</v>
      </c>
      <c r="K130" s="11">
        <f t="shared" si="1"/>
        <v>2898.8</v>
      </c>
      <c r="L130" s="6" t="s">
        <v>20</v>
      </c>
      <c r="M130" s="6" t="s">
        <v>21</v>
      </c>
      <c r="N130" s="6" t="s">
        <v>22</v>
      </c>
      <c r="O130" s="3"/>
      <c r="P130" s="4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6.5" customHeight="1" x14ac:dyDescent="0.3">
      <c r="A131" s="5">
        <v>45120</v>
      </c>
      <c r="B131" s="6" t="s">
        <v>71</v>
      </c>
      <c r="C131" s="6" t="s">
        <v>15</v>
      </c>
      <c r="D131" s="7" t="s">
        <v>44</v>
      </c>
      <c r="E131" s="6" t="s">
        <v>24</v>
      </c>
      <c r="F131" s="8" t="s">
        <v>25</v>
      </c>
      <c r="G131" s="8" t="str">
        <f t="shared" si="0"/>
        <v>Marketing</v>
      </c>
      <c r="H131" s="8" t="s">
        <v>29</v>
      </c>
      <c r="I131" s="9">
        <v>7252</v>
      </c>
      <c r="J131" s="10">
        <v>0.25</v>
      </c>
      <c r="K131" s="11">
        <f t="shared" si="1"/>
        <v>1813</v>
      </c>
      <c r="L131" s="6" t="s">
        <v>27</v>
      </c>
      <c r="M131" s="6" t="s">
        <v>46</v>
      </c>
      <c r="N131" s="6" t="s">
        <v>22</v>
      </c>
      <c r="O131" s="3"/>
      <c r="P131" s="4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6.5" customHeight="1" x14ac:dyDescent="0.3">
      <c r="A132" s="5">
        <v>45122</v>
      </c>
      <c r="B132" s="6" t="s">
        <v>71</v>
      </c>
      <c r="C132" s="6" t="s">
        <v>15</v>
      </c>
      <c r="D132" s="7" t="s">
        <v>36</v>
      </c>
      <c r="E132" s="6" t="s">
        <v>17</v>
      </c>
      <c r="F132" s="8" t="s">
        <v>32</v>
      </c>
      <c r="G132" s="8" t="str">
        <f t="shared" si="0"/>
        <v>Design</v>
      </c>
      <c r="H132" s="8" t="s">
        <v>42</v>
      </c>
      <c r="I132" s="9">
        <v>5980</v>
      </c>
      <c r="J132" s="10">
        <v>0.4</v>
      </c>
      <c r="K132" s="11">
        <f t="shared" si="1"/>
        <v>2392</v>
      </c>
      <c r="L132" s="6" t="s">
        <v>27</v>
      </c>
      <c r="M132" s="6" t="s">
        <v>25</v>
      </c>
      <c r="N132" s="6" t="s">
        <v>37</v>
      </c>
      <c r="O132" s="3"/>
      <c r="P132" s="4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6.5" customHeight="1" x14ac:dyDescent="0.3">
      <c r="A133" s="5">
        <v>45122</v>
      </c>
      <c r="B133" s="6" t="s">
        <v>71</v>
      </c>
      <c r="C133" s="6" t="s">
        <v>15</v>
      </c>
      <c r="D133" s="7" t="s">
        <v>47</v>
      </c>
      <c r="E133" s="6" t="s">
        <v>24</v>
      </c>
      <c r="F133" s="8" t="s">
        <v>39</v>
      </c>
      <c r="G133" s="8" t="str">
        <f t="shared" si="0"/>
        <v>Design</v>
      </c>
      <c r="H133" s="8" t="s">
        <v>19</v>
      </c>
      <c r="I133" s="9">
        <v>7259</v>
      </c>
      <c r="J133" s="10">
        <v>0.35</v>
      </c>
      <c r="K133" s="11">
        <f t="shared" si="1"/>
        <v>2540.6499999999996</v>
      </c>
      <c r="L133" s="6" t="s">
        <v>20</v>
      </c>
      <c r="M133" s="6" t="s">
        <v>21</v>
      </c>
      <c r="N133" s="6" t="s">
        <v>34</v>
      </c>
      <c r="O133" s="3"/>
      <c r="P133" s="4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6.5" customHeight="1" x14ac:dyDescent="0.3">
      <c r="A134" s="5">
        <v>45122</v>
      </c>
      <c r="B134" s="6" t="s">
        <v>71</v>
      </c>
      <c r="C134" s="6" t="s">
        <v>15</v>
      </c>
      <c r="D134" s="7" t="s">
        <v>47</v>
      </c>
      <c r="E134" s="6" t="s">
        <v>24</v>
      </c>
      <c r="F134" s="8" t="s">
        <v>39</v>
      </c>
      <c r="G134" s="8" t="str">
        <f t="shared" si="0"/>
        <v>Design</v>
      </c>
      <c r="H134" s="8" t="s">
        <v>33</v>
      </c>
      <c r="I134" s="9">
        <v>6125</v>
      </c>
      <c r="J134" s="10">
        <v>0.35</v>
      </c>
      <c r="K134" s="11">
        <f t="shared" si="1"/>
        <v>2143.75</v>
      </c>
      <c r="L134" s="6" t="s">
        <v>20</v>
      </c>
      <c r="M134" s="6" t="s">
        <v>25</v>
      </c>
      <c r="N134" s="6" t="s">
        <v>30</v>
      </c>
      <c r="O134" s="3"/>
      <c r="P134" s="4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6.5" customHeight="1" x14ac:dyDescent="0.3">
      <c r="A135" s="5">
        <v>45127</v>
      </c>
      <c r="B135" s="6" t="s">
        <v>71</v>
      </c>
      <c r="C135" s="6" t="s">
        <v>15</v>
      </c>
      <c r="D135" s="7" t="s">
        <v>48</v>
      </c>
      <c r="E135" s="6" t="s">
        <v>17</v>
      </c>
      <c r="F135" s="8" t="s">
        <v>25</v>
      </c>
      <c r="G135" s="8" t="str">
        <f t="shared" si="0"/>
        <v>Marketing</v>
      </c>
      <c r="H135" s="8" t="s">
        <v>19</v>
      </c>
      <c r="I135" s="9">
        <v>5780</v>
      </c>
      <c r="J135" s="10">
        <v>0.25</v>
      </c>
      <c r="K135" s="11">
        <f t="shared" si="1"/>
        <v>1445</v>
      </c>
      <c r="L135" s="6" t="s">
        <v>20</v>
      </c>
      <c r="M135" s="6" t="s">
        <v>21</v>
      </c>
      <c r="N135" s="6" t="s">
        <v>30</v>
      </c>
      <c r="O135" s="3"/>
      <c r="P135" s="4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6.5" customHeight="1" x14ac:dyDescent="0.3">
      <c r="A136" s="5">
        <v>45127</v>
      </c>
      <c r="B136" s="6" t="s">
        <v>71</v>
      </c>
      <c r="C136" s="6" t="s">
        <v>15</v>
      </c>
      <c r="D136" s="7" t="s">
        <v>52</v>
      </c>
      <c r="E136" s="6" t="s">
        <v>17</v>
      </c>
      <c r="F136" s="8" t="s">
        <v>32</v>
      </c>
      <c r="G136" s="8" t="str">
        <f t="shared" si="0"/>
        <v>Design</v>
      </c>
      <c r="H136" s="8" t="s">
        <v>26</v>
      </c>
      <c r="I136" s="9">
        <v>5777</v>
      </c>
      <c r="J136" s="10">
        <v>0.4</v>
      </c>
      <c r="K136" s="11">
        <f t="shared" si="1"/>
        <v>2310.8000000000002</v>
      </c>
      <c r="L136" s="6" t="s">
        <v>20</v>
      </c>
      <c r="M136" s="6" t="s">
        <v>46</v>
      </c>
      <c r="N136" s="6" t="s">
        <v>30</v>
      </c>
      <c r="O136" s="3"/>
      <c r="P136" s="4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6.5" customHeight="1" x14ac:dyDescent="0.3">
      <c r="A137" s="5">
        <v>45137</v>
      </c>
      <c r="B137" s="6" t="s">
        <v>71</v>
      </c>
      <c r="C137" s="6" t="s">
        <v>15</v>
      </c>
      <c r="D137" s="7" t="s">
        <v>56</v>
      </c>
      <c r="E137" s="6" t="s">
        <v>17</v>
      </c>
      <c r="F137" s="8" t="s">
        <v>25</v>
      </c>
      <c r="G137" s="8" t="str">
        <f t="shared" si="0"/>
        <v>Marketing</v>
      </c>
      <c r="H137" s="8" t="s">
        <v>26</v>
      </c>
      <c r="I137" s="9">
        <v>7325</v>
      </c>
      <c r="J137" s="10">
        <v>0.25</v>
      </c>
      <c r="K137" s="11">
        <f t="shared" si="1"/>
        <v>1831.25</v>
      </c>
      <c r="L137" s="6" t="s">
        <v>20</v>
      </c>
      <c r="M137" s="6" t="s">
        <v>21</v>
      </c>
      <c r="N137" s="6" t="s">
        <v>37</v>
      </c>
      <c r="O137" s="3"/>
      <c r="P137" s="4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6.5" customHeight="1" x14ac:dyDescent="0.3">
      <c r="A138" s="5">
        <v>45137</v>
      </c>
      <c r="B138" s="6" t="s">
        <v>71</v>
      </c>
      <c r="C138" s="6" t="s">
        <v>15</v>
      </c>
      <c r="D138" s="7" t="s">
        <v>52</v>
      </c>
      <c r="E138" s="6" t="s">
        <v>17</v>
      </c>
      <c r="F138" s="8" t="s">
        <v>25</v>
      </c>
      <c r="G138" s="8" t="str">
        <f t="shared" si="0"/>
        <v>Marketing</v>
      </c>
      <c r="H138" s="8" t="s">
        <v>33</v>
      </c>
      <c r="I138" s="9">
        <v>7139</v>
      </c>
      <c r="J138" s="10">
        <v>0.25</v>
      </c>
      <c r="K138" s="11">
        <f t="shared" si="1"/>
        <v>1784.75</v>
      </c>
      <c r="L138" s="6" t="s">
        <v>27</v>
      </c>
      <c r="M138" s="6" t="s">
        <v>46</v>
      </c>
      <c r="N138" s="6" t="s">
        <v>34</v>
      </c>
      <c r="O138" s="3"/>
      <c r="P138" s="4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6.5" customHeight="1" x14ac:dyDescent="0.3">
      <c r="A139" s="5">
        <v>45137</v>
      </c>
      <c r="B139" s="6" t="s">
        <v>71</v>
      </c>
      <c r="C139" s="6" t="s">
        <v>15</v>
      </c>
      <c r="D139" s="7" t="s">
        <v>58</v>
      </c>
      <c r="E139" s="6" t="s">
        <v>24</v>
      </c>
      <c r="F139" s="8" t="s">
        <v>18</v>
      </c>
      <c r="G139" s="8" t="str">
        <f t="shared" si="0"/>
        <v>Marketing</v>
      </c>
      <c r="H139" s="8" t="s">
        <v>26</v>
      </c>
      <c r="I139" s="9">
        <v>5676</v>
      </c>
      <c r="J139" s="10">
        <v>0.3</v>
      </c>
      <c r="K139" s="11">
        <f t="shared" si="1"/>
        <v>1702.8</v>
      </c>
      <c r="L139" s="6" t="s">
        <v>27</v>
      </c>
      <c r="M139" s="6" t="s">
        <v>21</v>
      </c>
      <c r="N139" s="6" t="s">
        <v>34</v>
      </c>
      <c r="O139" s="3"/>
      <c r="P139" s="4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6.5" customHeight="1" x14ac:dyDescent="0.3">
      <c r="A140" s="5">
        <v>45137</v>
      </c>
      <c r="B140" s="6" t="s">
        <v>71</v>
      </c>
      <c r="C140" s="6" t="s">
        <v>15</v>
      </c>
      <c r="D140" s="7" t="s">
        <v>57</v>
      </c>
      <c r="E140" s="6" t="s">
        <v>24</v>
      </c>
      <c r="F140" s="8" t="s">
        <v>18</v>
      </c>
      <c r="G140" s="8" t="str">
        <f t="shared" si="0"/>
        <v>Marketing</v>
      </c>
      <c r="H140" s="8" t="s">
        <v>33</v>
      </c>
      <c r="I140" s="9">
        <v>6440</v>
      </c>
      <c r="J140" s="10">
        <v>0.3</v>
      </c>
      <c r="K140" s="11">
        <f t="shared" si="1"/>
        <v>1932</v>
      </c>
      <c r="L140" s="6" t="s">
        <v>20</v>
      </c>
      <c r="M140" s="6" t="s">
        <v>25</v>
      </c>
      <c r="N140" s="6" t="s">
        <v>34</v>
      </c>
      <c r="O140" s="3"/>
      <c r="P140" s="4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6.5" customHeight="1" x14ac:dyDescent="0.3">
      <c r="A141" s="5">
        <v>45138</v>
      </c>
      <c r="B141" s="6" t="s">
        <v>71</v>
      </c>
      <c r="C141" s="6" t="s">
        <v>15</v>
      </c>
      <c r="D141" s="7" t="s">
        <v>38</v>
      </c>
      <c r="E141" s="6" t="s">
        <v>24</v>
      </c>
      <c r="F141" s="8" t="s">
        <v>41</v>
      </c>
      <c r="G141" s="8" t="str">
        <f t="shared" si="0"/>
        <v>Copywriting</v>
      </c>
      <c r="H141" s="8" t="s">
        <v>26</v>
      </c>
      <c r="I141" s="9">
        <v>6331</v>
      </c>
      <c r="J141" s="10">
        <v>0.25</v>
      </c>
      <c r="K141" s="11">
        <f t="shared" si="1"/>
        <v>1582.75</v>
      </c>
      <c r="L141" s="6" t="s">
        <v>20</v>
      </c>
      <c r="M141" s="6" t="s">
        <v>46</v>
      </c>
      <c r="N141" s="6" t="s">
        <v>34</v>
      </c>
      <c r="O141" s="3"/>
      <c r="P141" s="4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6.5" customHeight="1" x14ac:dyDescent="0.3">
      <c r="A142" s="5">
        <v>45143</v>
      </c>
      <c r="B142" s="6" t="s">
        <v>72</v>
      </c>
      <c r="C142" s="6" t="s">
        <v>15</v>
      </c>
      <c r="D142" s="7" t="s">
        <v>45</v>
      </c>
      <c r="E142" s="6" t="s">
        <v>17</v>
      </c>
      <c r="F142" s="8" t="s">
        <v>39</v>
      </c>
      <c r="G142" s="8" t="str">
        <f t="shared" si="0"/>
        <v>Design</v>
      </c>
      <c r="H142" s="8" t="s">
        <v>33</v>
      </c>
      <c r="I142" s="9">
        <v>7410</v>
      </c>
      <c r="J142" s="10">
        <v>0.35</v>
      </c>
      <c r="K142" s="11">
        <f t="shared" si="1"/>
        <v>2593.5</v>
      </c>
      <c r="L142" s="6" t="s">
        <v>27</v>
      </c>
      <c r="M142" s="6" t="s">
        <v>21</v>
      </c>
      <c r="N142" s="6" t="s">
        <v>22</v>
      </c>
      <c r="O142" s="3"/>
      <c r="P142" s="4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6.5" customHeight="1" x14ac:dyDescent="0.3">
      <c r="A143" s="5">
        <v>45143</v>
      </c>
      <c r="B143" s="6" t="s">
        <v>72</v>
      </c>
      <c r="C143" s="6" t="s">
        <v>15</v>
      </c>
      <c r="D143" s="7" t="s">
        <v>59</v>
      </c>
      <c r="E143" s="6" t="s">
        <v>24</v>
      </c>
      <c r="F143" s="8" t="s">
        <v>41</v>
      </c>
      <c r="G143" s="8" t="str">
        <f t="shared" si="0"/>
        <v>Copywriting</v>
      </c>
      <c r="H143" s="8" t="s">
        <v>33</v>
      </c>
      <c r="I143" s="9">
        <v>6926</v>
      </c>
      <c r="J143" s="10">
        <v>0.25</v>
      </c>
      <c r="K143" s="11">
        <f t="shared" si="1"/>
        <v>1731.5</v>
      </c>
      <c r="L143" s="6" t="s">
        <v>27</v>
      </c>
      <c r="M143" s="6" t="s">
        <v>46</v>
      </c>
      <c r="N143" s="6" t="s">
        <v>30</v>
      </c>
      <c r="O143" s="3"/>
      <c r="P143" s="4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6.5" customHeight="1" x14ac:dyDescent="0.3">
      <c r="A144" s="5">
        <v>45143</v>
      </c>
      <c r="B144" s="6" t="s">
        <v>72</v>
      </c>
      <c r="C144" s="6" t="s">
        <v>15</v>
      </c>
      <c r="D144" s="7" t="s">
        <v>73</v>
      </c>
      <c r="E144" s="6" t="s">
        <v>24</v>
      </c>
      <c r="F144" s="8" t="s">
        <v>39</v>
      </c>
      <c r="G144" s="8" t="str">
        <f t="shared" si="0"/>
        <v>Design</v>
      </c>
      <c r="H144" s="8" t="s">
        <v>33</v>
      </c>
      <c r="I144" s="9">
        <v>6805</v>
      </c>
      <c r="J144" s="10">
        <v>0.35</v>
      </c>
      <c r="K144" s="11">
        <f t="shared" si="1"/>
        <v>2381.75</v>
      </c>
      <c r="L144" s="6" t="s">
        <v>20</v>
      </c>
      <c r="M144" s="6" t="s">
        <v>21</v>
      </c>
      <c r="N144" s="6" t="s">
        <v>22</v>
      </c>
      <c r="O144" s="3"/>
      <c r="P144" s="4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6.5" customHeight="1" x14ac:dyDescent="0.3">
      <c r="A145" s="5">
        <v>45145</v>
      </c>
      <c r="B145" s="6" t="s">
        <v>72</v>
      </c>
      <c r="C145" s="6" t="s">
        <v>15</v>
      </c>
      <c r="D145" s="7" t="s">
        <v>56</v>
      </c>
      <c r="E145" s="6" t="s">
        <v>17</v>
      </c>
      <c r="F145" s="8" t="s">
        <v>25</v>
      </c>
      <c r="G145" s="8" t="str">
        <f t="shared" si="0"/>
        <v>Marketing</v>
      </c>
      <c r="H145" s="8" t="s">
        <v>26</v>
      </c>
      <c r="I145" s="9">
        <v>7689</v>
      </c>
      <c r="J145" s="10">
        <v>0.25</v>
      </c>
      <c r="K145" s="11">
        <f t="shared" si="1"/>
        <v>1922.25</v>
      </c>
      <c r="L145" s="6" t="s">
        <v>27</v>
      </c>
      <c r="M145" s="6" t="s">
        <v>21</v>
      </c>
      <c r="N145" s="6" t="s">
        <v>34</v>
      </c>
      <c r="O145" s="3"/>
      <c r="P145" s="4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6.5" customHeight="1" x14ac:dyDescent="0.3">
      <c r="A146" s="5">
        <v>45149</v>
      </c>
      <c r="B146" s="6" t="s">
        <v>72</v>
      </c>
      <c r="C146" s="6" t="s">
        <v>15</v>
      </c>
      <c r="D146" s="7" t="s">
        <v>43</v>
      </c>
      <c r="E146" s="6" t="s">
        <v>24</v>
      </c>
      <c r="F146" s="8" t="s">
        <v>41</v>
      </c>
      <c r="G146" s="8" t="str">
        <f t="shared" si="0"/>
        <v>Copywriting</v>
      </c>
      <c r="H146" s="8" t="s">
        <v>42</v>
      </c>
      <c r="I146" s="9">
        <v>5830</v>
      </c>
      <c r="J146" s="10">
        <v>0.25</v>
      </c>
      <c r="K146" s="11">
        <f t="shared" si="1"/>
        <v>1457.5</v>
      </c>
      <c r="L146" s="6" t="s">
        <v>20</v>
      </c>
      <c r="M146" s="6" t="s">
        <v>25</v>
      </c>
      <c r="N146" s="6" t="s">
        <v>30</v>
      </c>
      <c r="O146" s="3"/>
      <c r="P146" s="4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6.5" customHeight="1" x14ac:dyDescent="0.3">
      <c r="A147" s="5">
        <v>45150</v>
      </c>
      <c r="B147" s="6" t="s">
        <v>72</v>
      </c>
      <c r="C147" s="6" t="s">
        <v>15</v>
      </c>
      <c r="D147" s="7" t="s">
        <v>73</v>
      </c>
      <c r="E147" s="6" t="s">
        <v>24</v>
      </c>
      <c r="F147" s="8" t="s">
        <v>41</v>
      </c>
      <c r="G147" s="8" t="str">
        <f t="shared" si="0"/>
        <v>Copywriting</v>
      </c>
      <c r="H147" s="8" t="s">
        <v>26</v>
      </c>
      <c r="I147" s="9">
        <v>6799</v>
      </c>
      <c r="J147" s="10">
        <v>0.25</v>
      </c>
      <c r="K147" s="11">
        <f t="shared" si="1"/>
        <v>1699.75</v>
      </c>
      <c r="L147" s="6" t="s">
        <v>20</v>
      </c>
      <c r="M147" s="6" t="s">
        <v>25</v>
      </c>
      <c r="N147" s="6" t="s">
        <v>37</v>
      </c>
      <c r="O147" s="3"/>
      <c r="P147" s="4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6.5" customHeight="1" x14ac:dyDescent="0.3">
      <c r="A148" s="5">
        <v>45155</v>
      </c>
      <c r="B148" s="6" t="s">
        <v>72</v>
      </c>
      <c r="C148" s="6" t="s">
        <v>15</v>
      </c>
      <c r="D148" s="7" t="s">
        <v>60</v>
      </c>
      <c r="E148" s="6" t="s">
        <v>24</v>
      </c>
      <c r="F148" s="8" t="s">
        <v>41</v>
      </c>
      <c r="G148" s="8" t="str">
        <f t="shared" si="0"/>
        <v>Copywriting</v>
      </c>
      <c r="H148" s="8" t="s">
        <v>33</v>
      </c>
      <c r="I148" s="9">
        <v>5750</v>
      </c>
      <c r="J148" s="10">
        <v>0.25</v>
      </c>
      <c r="K148" s="11">
        <f t="shared" si="1"/>
        <v>1437.5</v>
      </c>
      <c r="L148" s="6" t="s">
        <v>20</v>
      </c>
      <c r="M148" s="6" t="s">
        <v>21</v>
      </c>
      <c r="N148" s="6" t="s">
        <v>22</v>
      </c>
      <c r="O148" s="3"/>
      <c r="P148" s="4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6.5" customHeight="1" x14ac:dyDescent="0.3">
      <c r="A149" s="5">
        <v>45156</v>
      </c>
      <c r="B149" s="6" t="s">
        <v>72</v>
      </c>
      <c r="C149" s="6" t="s">
        <v>15</v>
      </c>
      <c r="D149" s="7" t="s">
        <v>49</v>
      </c>
      <c r="E149" s="6" t="s">
        <v>17</v>
      </c>
      <c r="F149" s="8" t="s">
        <v>41</v>
      </c>
      <c r="G149" s="8" t="str">
        <f t="shared" si="0"/>
        <v>Copywriting</v>
      </c>
      <c r="H149" s="8" t="s">
        <v>26</v>
      </c>
      <c r="I149" s="9">
        <v>7447</v>
      </c>
      <c r="J149" s="10">
        <v>0.25</v>
      </c>
      <c r="K149" s="11">
        <f t="shared" si="1"/>
        <v>1861.75</v>
      </c>
      <c r="L149" s="6" t="s">
        <v>20</v>
      </c>
      <c r="M149" s="6" t="s">
        <v>21</v>
      </c>
      <c r="N149" s="6" t="s">
        <v>37</v>
      </c>
      <c r="O149" s="3"/>
      <c r="P149" s="4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6.5" customHeight="1" x14ac:dyDescent="0.3">
      <c r="A150" s="5">
        <v>45156</v>
      </c>
      <c r="B150" s="6" t="s">
        <v>72</v>
      </c>
      <c r="C150" s="6" t="s">
        <v>15</v>
      </c>
      <c r="D150" s="7" t="s">
        <v>48</v>
      </c>
      <c r="E150" s="6" t="s">
        <v>17</v>
      </c>
      <c r="F150" s="8" t="s">
        <v>41</v>
      </c>
      <c r="G150" s="8" t="str">
        <f t="shared" si="0"/>
        <v>Copywriting</v>
      </c>
      <c r="H150" s="8" t="s">
        <v>19</v>
      </c>
      <c r="I150" s="9">
        <v>7243</v>
      </c>
      <c r="J150" s="10">
        <v>0.25</v>
      </c>
      <c r="K150" s="11">
        <f t="shared" si="1"/>
        <v>1810.75</v>
      </c>
      <c r="L150" s="6" t="s">
        <v>20</v>
      </c>
      <c r="M150" s="6" t="s">
        <v>21</v>
      </c>
      <c r="N150" s="6" t="s">
        <v>37</v>
      </c>
      <c r="O150" s="3"/>
      <c r="P150" s="4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6.5" customHeight="1" x14ac:dyDescent="0.3">
      <c r="A151" s="5">
        <v>45156</v>
      </c>
      <c r="B151" s="6" t="s">
        <v>72</v>
      </c>
      <c r="C151" s="6" t="s">
        <v>15</v>
      </c>
      <c r="D151" s="7" t="s">
        <v>35</v>
      </c>
      <c r="E151" s="6" t="s">
        <v>24</v>
      </c>
      <c r="F151" s="8" t="s">
        <v>25</v>
      </c>
      <c r="G151" s="8" t="str">
        <f t="shared" si="0"/>
        <v>Marketing</v>
      </c>
      <c r="H151" s="8" t="s">
        <v>19</v>
      </c>
      <c r="I151" s="9">
        <v>5541</v>
      </c>
      <c r="J151" s="10">
        <v>0.25</v>
      </c>
      <c r="K151" s="11">
        <f t="shared" si="1"/>
        <v>1385.25</v>
      </c>
      <c r="L151" s="6" t="s">
        <v>27</v>
      </c>
      <c r="M151" s="6" t="s">
        <v>25</v>
      </c>
      <c r="N151" s="6" t="s">
        <v>34</v>
      </c>
      <c r="O151" s="3"/>
      <c r="P151" s="4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6.5" customHeight="1" x14ac:dyDescent="0.3">
      <c r="A152" s="5">
        <v>45156</v>
      </c>
      <c r="B152" s="6" t="s">
        <v>72</v>
      </c>
      <c r="C152" s="6" t="s">
        <v>15</v>
      </c>
      <c r="D152" s="7" t="s">
        <v>57</v>
      </c>
      <c r="E152" s="6" t="s">
        <v>24</v>
      </c>
      <c r="F152" s="8" t="s">
        <v>25</v>
      </c>
      <c r="G152" s="8" t="str">
        <f t="shared" si="0"/>
        <v>Marketing</v>
      </c>
      <c r="H152" s="8" t="s">
        <v>19</v>
      </c>
      <c r="I152" s="9">
        <v>6457</v>
      </c>
      <c r="J152" s="10">
        <v>0.25</v>
      </c>
      <c r="K152" s="11">
        <f t="shared" si="1"/>
        <v>1614.25</v>
      </c>
      <c r="L152" s="6" t="s">
        <v>20</v>
      </c>
      <c r="M152" s="6" t="s">
        <v>21</v>
      </c>
      <c r="N152" s="6" t="s">
        <v>34</v>
      </c>
      <c r="O152" s="3"/>
      <c r="P152" s="4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6.5" customHeight="1" x14ac:dyDescent="0.3">
      <c r="A153" s="5">
        <v>45158</v>
      </c>
      <c r="B153" s="6" t="s">
        <v>72</v>
      </c>
      <c r="C153" s="6" t="s">
        <v>15</v>
      </c>
      <c r="D153" s="7" t="s">
        <v>56</v>
      </c>
      <c r="E153" s="6" t="s">
        <v>17</v>
      </c>
      <c r="F153" s="8" t="s">
        <v>39</v>
      </c>
      <c r="G153" s="8" t="str">
        <f t="shared" si="0"/>
        <v>Design</v>
      </c>
      <c r="H153" s="8" t="s">
        <v>19</v>
      </c>
      <c r="I153" s="9">
        <v>5696</v>
      </c>
      <c r="J153" s="10">
        <v>0.35</v>
      </c>
      <c r="K153" s="11">
        <f t="shared" si="1"/>
        <v>1993.6</v>
      </c>
      <c r="L153" s="6" t="s">
        <v>20</v>
      </c>
      <c r="M153" s="6" t="s">
        <v>46</v>
      </c>
      <c r="N153" s="6" t="s">
        <v>37</v>
      </c>
      <c r="O153" s="3"/>
      <c r="P153" s="4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6.5" customHeight="1" x14ac:dyDescent="0.3">
      <c r="A154" s="5">
        <v>45160</v>
      </c>
      <c r="B154" s="6" t="s">
        <v>72</v>
      </c>
      <c r="C154" s="6" t="s">
        <v>15</v>
      </c>
      <c r="D154" s="7" t="s">
        <v>44</v>
      </c>
      <c r="E154" s="6" t="s">
        <v>24</v>
      </c>
      <c r="F154" s="8" t="s">
        <v>32</v>
      </c>
      <c r="G154" s="8" t="str">
        <f t="shared" si="0"/>
        <v>Design</v>
      </c>
      <c r="H154" s="8" t="s">
        <v>42</v>
      </c>
      <c r="I154" s="9">
        <v>5218</v>
      </c>
      <c r="J154" s="10">
        <v>0.4</v>
      </c>
      <c r="K154" s="11">
        <f t="shared" si="1"/>
        <v>2087.2000000000003</v>
      </c>
      <c r="L154" s="6" t="s">
        <v>20</v>
      </c>
      <c r="M154" s="6" t="s">
        <v>46</v>
      </c>
      <c r="N154" s="6" t="s">
        <v>30</v>
      </c>
      <c r="O154" s="3"/>
      <c r="P154" s="4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6.5" customHeight="1" x14ac:dyDescent="0.3">
      <c r="A155" s="5">
        <v>45164</v>
      </c>
      <c r="B155" s="6" t="s">
        <v>72</v>
      </c>
      <c r="C155" s="6" t="s">
        <v>15</v>
      </c>
      <c r="D155" s="7" t="s">
        <v>48</v>
      </c>
      <c r="E155" s="6" t="s">
        <v>17</v>
      </c>
      <c r="F155" s="8" t="s">
        <v>39</v>
      </c>
      <c r="G155" s="8" t="str">
        <f t="shared" si="0"/>
        <v>Design</v>
      </c>
      <c r="H155" s="8" t="s">
        <v>33</v>
      </c>
      <c r="I155" s="9">
        <v>7285</v>
      </c>
      <c r="J155" s="10">
        <v>0.35</v>
      </c>
      <c r="K155" s="11">
        <f t="shared" si="1"/>
        <v>2549.75</v>
      </c>
      <c r="L155" s="6" t="s">
        <v>20</v>
      </c>
      <c r="M155" s="6" t="s">
        <v>25</v>
      </c>
      <c r="N155" s="6" t="s">
        <v>37</v>
      </c>
      <c r="O155" s="3"/>
      <c r="P155" s="4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6.5" customHeight="1" x14ac:dyDescent="0.3">
      <c r="A156" s="5">
        <v>45166</v>
      </c>
      <c r="B156" s="6" t="s">
        <v>72</v>
      </c>
      <c r="C156" s="6" t="s">
        <v>15</v>
      </c>
      <c r="D156" s="7" t="s">
        <v>45</v>
      </c>
      <c r="E156" s="6" t="s">
        <v>17</v>
      </c>
      <c r="F156" s="8" t="s">
        <v>41</v>
      </c>
      <c r="G156" s="8" t="str">
        <f t="shared" si="0"/>
        <v>Copywriting</v>
      </c>
      <c r="H156" s="8" t="s">
        <v>33</v>
      </c>
      <c r="I156" s="9">
        <v>7369</v>
      </c>
      <c r="J156" s="10">
        <v>0.25</v>
      </c>
      <c r="K156" s="11">
        <f t="shared" si="1"/>
        <v>1842.25</v>
      </c>
      <c r="L156" s="6" t="s">
        <v>20</v>
      </c>
      <c r="M156" s="6" t="s">
        <v>21</v>
      </c>
      <c r="N156" s="6" t="s">
        <v>30</v>
      </c>
      <c r="O156" s="3"/>
      <c r="P156" s="4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6.5" customHeight="1" x14ac:dyDescent="0.3">
      <c r="A157" s="5">
        <v>45167</v>
      </c>
      <c r="B157" s="6" t="s">
        <v>72</v>
      </c>
      <c r="C157" s="6" t="s">
        <v>15</v>
      </c>
      <c r="D157" s="7" t="s">
        <v>49</v>
      </c>
      <c r="E157" s="6" t="s">
        <v>17</v>
      </c>
      <c r="F157" s="8" t="s">
        <v>41</v>
      </c>
      <c r="G157" s="8" t="str">
        <f t="shared" si="0"/>
        <v>Copywriting</v>
      </c>
      <c r="H157" s="8" t="s">
        <v>26</v>
      </c>
      <c r="I157" s="9">
        <v>5698</v>
      </c>
      <c r="J157" s="10">
        <v>0.25</v>
      </c>
      <c r="K157" s="11">
        <f t="shared" si="1"/>
        <v>1424.5</v>
      </c>
      <c r="L157" s="6" t="s">
        <v>20</v>
      </c>
      <c r="M157" s="6" t="s">
        <v>46</v>
      </c>
      <c r="N157" s="6" t="s">
        <v>37</v>
      </c>
      <c r="O157" s="3"/>
      <c r="P157" s="4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6.5" customHeight="1" x14ac:dyDescent="0.3">
      <c r="A158" s="5">
        <v>45168</v>
      </c>
      <c r="B158" s="6" t="s">
        <v>72</v>
      </c>
      <c r="C158" s="6" t="s">
        <v>15</v>
      </c>
      <c r="D158" s="7" t="s">
        <v>54</v>
      </c>
      <c r="E158" s="6" t="s">
        <v>17</v>
      </c>
      <c r="F158" s="8" t="s">
        <v>18</v>
      </c>
      <c r="G158" s="8" t="str">
        <f t="shared" si="0"/>
        <v>Marketing</v>
      </c>
      <c r="H158" s="8" t="s">
        <v>29</v>
      </c>
      <c r="I158" s="9">
        <v>5938</v>
      </c>
      <c r="J158" s="10">
        <v>0.3</v>
      </c>
      <c r="K158" s="11">
        <f t="shared" si="1"/>
        <v>1781.3999999999999</v>
      </c>
      <c r="L158" s="6" t="s">
        <v>20</v>
      </c>
      <c r="M158" s="6" t="s">
        <v>21</v>
      </c>
      <c r="N158" s="6" t="s">
        <v>34</v>
      </c>
      <c r="O158" s="3"/>
      <c r="P158" s="4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6.5" customHeight="1" x14ac:dyDescent="0.3">
      <c r="A159" s="5">
        <v>45168</v>
      </c>
      <c r="B159" s="6" t="s">
        <v>72</v>
      </c>
      <c r="C159" s="6" t="s">
        <v>15</v>
      </c>
      <c r="D159" s="7" t="s">
        <v>58</v>
      </c>
      <c r="E159" s="6" t="s">
        <v>24</v>
      </c>
      <c r="F159" s="8" t="s">
        <v>41</v>
      </c>
      <c r="G159" s="8" t="str">
        <f t="shared" si="0"/>
        <v>Copywriting</v>
      </c>
      <c r="H159" s="8" t="s">
        <v>33</v>
      </c>
      <c r="I159" s="9">
        <v>6844</v>
      </c>
      <c r="J159" s="10">
        <v>0.25</v>
      </c>
      <c r="K159" s="11">
        <f t="shared" si="1"/>
        <v>1711</v>
      </c>
      <c r="L159" s="6" t="s">
        <v>20</v>
      </c>
      <c r="M159" s="6" t="s">
        <v>46</v>
      </c>
      <c r="N159" s="6" t="s">
        <v>37</v>
      </c>
      <c r="O159" s="3"/>
      <c r="P159" s="4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6.5" customHeight="1" x14ac:dyDescent="0.3">
      <c r="A160" s="5">
        <v>45168</v>
      </c>
      <c r="B160" s="6" t="s">
        <v>72</v>
      </c>
      <c r="C160" s="6" t="s">
        <v>15</v>
      </c>
      <c r="D160" s="7" t="s">
        <v>38</v>
      </c>
      <c r="E160" s="6" t="s">
        <v>24</v>
      </c>
      <c r="F160" s="8" t="s">
        <v>41</v>
      </c>
      <c r="G160" s="8" t="str">
        <f t="shared" si="0"/>
        <v>Copywriting</v>
      </c>
      <c r="H160" s="8" t="s">
        <v>42</v>
      </c>
      <c r="I160" s="9">
        <v>6002</v>
      </c>
      <c r="J160" s="10">
        <v>0.25</v>
      </c>
      <c r="K160" s="11">
        <f t="shared" si="1"/>
        <v>1500.5</v>
      </c>
      <c r="L160" s="6" t="s">
        <v>20</v>
      </c>
      <c r="M160" s="6" t="s">
        <v>25</v>
      </c>
      <c r="N160" s="6" t="s">
        <v>37</v>
      </c>
      <c r="O160" s="3"/>
      <c r="P160" s="4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6.5" customHeight="1" x14ac:dyDescent="0.3">
      <c r="A161" s="5">
        <v>45169</v>
      </c>
      <c r="B161" s="6" t="s">
        <v>72</v>
      </c>
      <c r="C161" s="6" t="s">
        <v>15</v>
      </c>
      <c r="D161" s="7" t="s">
        <v>50</v>
      </c>
      <c r="E161" s="6" t="s">
        <v>17</v>
      </c>
      <c r="F161" s="8" t="s">
        <v>41</v>
      </c>
      <c r="G161" s="8" t="str">
        <f t="shared" si="0"/>
        <v>Copywriting</v>
      </c>
      <c r="H161" s="8" t="s">
        <v>29</v>
      </c>
      <c r="I161" s="9">
        <v>6511</v>
      </c>
      <c r="J161" s="10">
        <v>0.25</v>
      </c>
      <c r="K161" s="11">
        <f t="shared" si="1"/>
        <v>1627.75</v>
      </c>
      <c r="L161" s="6" t="s">
        <v>20</v>
      </c>
      <c r="M161" s="6" t="s">
        <v>25</v>
      </c>
      <c r="N161" s="6" t="s">
        <v>34</v>
      </c>
      <c r="O161" s="3"/>
      <c r="P161" s="4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6.5" customHeight="1" x14ac:dyDescent="0.3">
      <c r="A162" s="5">
        <v>45170</v>
      </c>
      <c r="B162" s="6" t="s">
        <v>74</v>
      </c>
      <c r="C162" s="6" t="s">
        <v>15</v>
      </c>
      <c r="D162" s="7" t="s">
        <v>73</v>
      </c>
      <c r="E162" s="6" t="s">
        <v>24</v>
      </c>
      <c r="F162" s="8" t="s">
        <v>25</v>
      </c>
      <c r="G162" s="8" t="str">
        <f t="shared" si="0"/>
        <v>Marketing</v>
      </c>
      <c r="H162" s="8" t="s">
        <v>33</v>
      </c>
      <c r="I162" s="9">
        <v>5417</v>
      </c>
      <c r="J162" s="10">
        <v>0.25</v>
      </c>
      <c r="K162" s="11">
        <f t="shared" si="1"/>
        <v>1354.25</v>
      </c>
      <c r="L162" s="6" t="s">
        <v>20</v>
      </c>
      <c r="M162" s="6" t="s">
        <v>25</v>
      </c>
      <c r="N162" s="6" t="s">
        <v>34</v>
      </c>
      <c r="O162" s="3"/>
      <c r="P162" s="4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6.5" customHeight="1" x14ac:dyDescent="0.3">
      <c r="A163" s="5">
        <v>45170</v>
      </c>
      <c r="B163" s="6" t="s">
        <v>74</v>
      </c>
      <c r="C163" s="6" t="s">
        <v>15</v>
      </c>
      <c r="D163" s="7" t="s">
        <v>57</v>
      </c>
      <c r="E163" s="6" t="s">
        <v>24</v>
      </c>
      <c r="F163" s="8" t="s">
        <v>18</v>
      </c>
      <c r="G163" s="8" t="str">
        <f t="shared" si="0"/>
        <v>Marketing</v>
      </c>
      <c r="H163" s="8" t="s">
        <v>42</v>
      </c>
      <c r="I163" s="9">
        <v>7304</v>
      </c>
      <c r="J163" s="10">
        <v>0.3</v>
      </c>
      <c r="K163" s="11">
        <f t="shared" si="1"/>
        <v>2191.1999999999998</v>
      </c>
      <c r="L163" s="6" t="s">
        <v>20</v>
      </c>
      <c r="M163" s="6" t="s">
        <v>46</v>
      </c>
      <c r="N163" s="6" t="s">
        <v>22</v>
      </c>
      <c r="O163" s="3"/>
      <c r="P163" s="4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6.5" customHeight="1" x14ac:dyDescent="0.3">
      <c r="A164" s="5">
        <v>45172</v>
      </c>
      <c r="B164" s="6" t="s">
        <v>74</v>
      </c>
      <c r="C164" s="6" t="s">
        <v>15</v>
      </c>
      <c r="D164" s="7" t="s">
        <v>57</v>
      </c>
      <c r="E164" s="6" t="s">
        <v>24</v>
      </c>
      <c r="F164" s="8" t="s">
        <v>32</v>
      </c>
      <c r="G164" s="8" t="str">
        <f t="shared" si="0"/>
        <v>Design</v>
      </c>
      <c r="H164" s="8" t="s">
        <v>33</v>
      </c>
      <c r="I164" s="9">
        <v>7582</v>
      </c>
      <c r="J164" s="10">
        <v>0.4</v>
      </c>
      <c r="K164" s="11">
        <f t="shared" si="1"/>
        <v>3032.8</v>
      </c>
      <c r="L164" s="6" t="s">
        <v>20</v>
      </c>
      <c r="M164" s="6" t="s">
        <v>46</v>
      </c>
      <c r="N164" s="6" t="s">
        <v>34</v>
      </c>
      <c r="O164" s="3"/>
      <c r="P164" s="4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6.5" customHeight="1" x14ac:dyDescent="0.3">
      <c r="A165" s="5">
        <v>45172</v>
      </c>
      <c r="B165" s="6" t="s">
        <v>74</v>
      </c>
      <c r="C165" s="6" t="s">
        <v>15</v>
      </c>
      <c r="D165" s="7" t="s">
        <v>60</v>
      </c>
      <c r="E165" s="6" t="s">
        <v>24</v>
      </c>
      <c r="F165" s="8" t="s">
        <v>25</v>
      </c>
      <c r="G165" s="8" t="str">
        <f t="shared" si="0"/>
        <v>Marketing</v>
      </c>
      <c r="H165" s="8" t="s">
        <v>26</v>
      </c>
      <c r="I165" s="9">
        <v>6696</v>
      </c>
      <c r="J165" s="10">
        <v>0.25</v>
      </c>
      <c r="K165" s="11">
        <f t="shared" si="1"/>
        <v>1674</v>
      </c>
      <c r="L165" s="6" t="s">
        <v>27</v>
      </c>
      <c r="M165" s="6" t="s">
        <v>25</v>
      </c>
      <c r="N165" s="6" t="s">
        <v>34</v>
      </c>
      <c r="O165" s="3"/>
      <c r="P165" s="4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6.5" customHeight="1" x14ac:dyDescent="0.3">
      <c r="A166" s="5">
        <v>45174</v>
      </c>
      <c r="B166" s="6" t="s">
        <v>74</v>
      </c>
      <c r="C166" s="6" t="s">
        <v>15</v>
      </c>
      <c r="D166" s="7" t="s">
        <v>50</v>
      </c>
      <c r="E166" s="6" t="s">
        <v>17</v>
      </c>
      <c r="F166" s="8" t="s">
        <v>41</v>
      </c>
      <c r="G166" s="8" t="str">
        <f t="shared" si="0"/>
        <v>Copywriting</v>
      </c>
      <c r="H166" s="8" t="s">
        <v>33</v>
      </c>
      <c r="I166" s="9">
        <v>6406</v>
      </c>
      <c r="J166" s="10">
        <v>0.25</v>
      </c>
      <c r="K166" s="11">
        <f t="shared" si="1"/>
        <v>1601.5</v>
      </c>
      <c r="L166" s="6" t="s">
        <v>20</v>
      </c>
      <c r="M166" s="6" t="s">
        <v>25</v>
      </c>
      <c r="N166" s="6" t="s">
        <v>22</v>
      </c>
      <c r="O166" s="3"/>
      <c r="P166" s="4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6.5" customHeight="1" x14ac:dyDescent="0.3">
      <c r="A167" s="5">
        <v>45174</v>
      </c>
      <c r="B167" s="6" t="s">
        <v>74</v>
      </c>
      <c r="C167" s="6" t="s">
        <v>15</v>
      </c>
      <c r="D167" s="7" t="s">
        <v>54</v>
      </c>
      <c r="E167" s="6" t="s">
        <v>17</v>
      </c>
      <c r="F167" s="8" t="s">
        <v>25</v>
      </c>
      <c r="G167" s="8" t="str">
        <f t="shared" si="0"/>
        <v>Marketing</v>
      </c>
      <c r="H167" s="8" t="s">
        <v>42</v>
      </c>
      <c r="I167" s="9">
        <v>7205</v>
      </c>
      <c r="J167" s="10">
        <v>0.25</v>
      </c>
      <c r="K167" s="11">
        <f t="shared" si="1"/>
        <v>1801.25</v>
      </c>
      <c r="L167" s="6" t="s">
        <v>27</v>
      </c>
      <c r="M167" s="6" t="s">
        <v>25</v>
      </c>
      <c r="N167" s="6" t="s">
        <v>34</v>
      </c>
      <c r="O167" s="3"/>
      <c r="P167" s="4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6.5" customHeight="1" x14ac:dyDescent="0.3">
      <c r="A168" s="5">
        <v>45175</v>
      </c>
      <c r="B168" s="6" t="s">
        <v>74</v>
      </c>
      <c r="C168" s="6" t="s">
        <v>15</v>
      </c>
      <c r="D168" s="7" t="s">
        <v>52</v>
      </c>
      <c r="E168" s="6" t="s">
        <v>17</v>
      </c>
      <c r="F168" s="8" t="s">
        <v>39</v>
      </c>
      <c r="G168" s="8" t="str">
        <f t="shared" si="0"/>
        <v>Design</v>
      </c>
      <c r="H168" s="8" t="s">
        <v>42</v>
      </c>
      <c r="I168" s="9">
        <v>7727</v>
      </c>
      <c r="J168" s="10">
        <v>0.35</v>
      </c>
      <c r="K168" s="11">
        <f t="shared" si="1"/>
        <v>2704.45</v>
      </c>
      <c r="L168" s="6" t="s">
        <v>20</v>
      </c>
      <c r="M168" s="6" t="s">
        <v>46</v>
      </c>
      <c r="N168" s="6" t="s">
        <v>34</v>
      </c>
      <c r="O168" s="3"/>
      <c r="P168" s="4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6.5" customHeight="1" x14ac:dyDescent="0.3">
      <c r="A169" s="5">
        <v>45176</v>
      </c>
      <c r="B169" s="6" t="s">
        <v>74</v>
      </c>
      <c r="C169" s="6" t="s">
        <v>15</v>
      </c>
      <c r="D169" s="7" t="s">
        <v>68</v>
      </c>
      <c r="E169" s="6" t="s">
        <v>24</v>
      </c>
      <c r="F169" s="8" t="s">
        <v>18</v>
      </c>
      <c r="G169" s="8" t="str">
        <f t="shared" si="0"/>
        <v>Marketing</v>
      </c>
      <c r="H169" s="8" t="s">
        <v>42</v>
      </c>
      <c r="I169" s="9">
        <v>5416</v>
      </c>
      <c r="J169" s="10">
        <v>0.3</v>
      </c>
      <c r="K169" s="11">
        <f t="shared" si="1"/>
        <v>1624.8</v>
      </c>
      <c r="L169" s="6" t="s">
        <v>20</v>
      </c>
      <c r="M169" s="6" t="s">
        <v>25</v>
      </c>
      <c r="N169" s="6" t="s">
        <v>22</v>
      </c>
      <c r="O169" s="3"/>
      <c r="P169" s="4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6.5" customHeight="1" x14ac:dyDescent="0.3">
      <c r="A170" s="5">
        <v>45177</v>
      </c>
      <c r="B170" s="6" t="s">
        <v>74</v>
      </c>
      <c r="C170" s="6" t="s">
        <v>15</v>
      </c>
      <c r="D170" s="7" t="s">
        <v>49</v>
      </c>
      <c r="E170" s="6" t="s">
        <v>17</v>
      </c>
      <c r="F170" s="8" t="s">
        <v>25</v>
      </c>
      <c r="G170" s="8" t="str">
        <f t="shared" si="0"/>
        <v>Marketing</v>
      </c>
      <c r="H170" s="8" t="s">
        <v>33</v>
      </c>
      <c r="I170" s="9">
        <v>7738</v>
      </c>
      <c r="J170" s="10">
        <v>0.25</v>
      </c>
      <c r="K170" s="11">
        <f t="shared" si="1"/>
        <v>1934.5</v>
      </c>
      <c r="L170" s="6" t="s">
        <v>20</v>
      </c>
      <c r="M170" s="6" t="s">
        <v>25</v>
      </c>
      <c r="N170" s="6" t="s">
        <v>34</v>
      </c>
      <c r="O170" s="3"/>
      <c r="P170" s="4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6.5" customHeight="1" x14ac:dyDescent="0.3">
      <c r="A171" s="5">
        <v>45181</v>
      </c>
      <c r="B171" s="6" t="s">
        <v>74</v>
      </c>
      <c r="C171" s="6" t="s">
        <v>15</v>
      </c>
      <c r="D171" s="7" t="s">
        <v>35</v>
      </c>
      <c r="E171" s="6" t="s">
        <v>24</v>
      </c>
      <c r="F171" s="8" t="s">
        <v>39</v>
      </c>
      <c r="G171" s="8" t="str">
        <f t="shared" si="0"/>
        <v>Design</v>
      </c>
      <c r="H171" s="8" t="s">
        <v>29</v>
      </c>
      <c r="I171" s="9">
        <v>7487</v>
      </c>
      <c r="J171" s="10">
        <v>0.35</v>
      </c>
      <c r="K171" s="11">
        <f t="shared" si="1"/>
        <v>2620.4499999999998</v>
      </c>
      <c r="L171" s="6" t="s">
        <v>20</v>
      </c>
      <c r="M171" s="6" t="s">
        <v>46</v>
      </c>
      <c r="N171" s="6" t="s">
        <v>22</v>
      </c>
      <c r="O171" s="3"/>
      <c r="P171" s="4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6.5" customHeight="1" x14ac:dyDescent="0.3">
      <c r="A172" s="5">
        <v>45181</v>
      </c>
      <c r="B172" s="6" t="s">
        <v>74</v>
      </c>
      <c r="C172" s="6" t="s">
        <v>15</v>
      </c>
      <c r="D172" s="7" t="s">
        <v>57</v>
      </c>
      <c r="E172" s="6" t="s">
        <v>24</v>
      </c>
      <c r="F172" s="8" t="s">
        <v>18</v>
      </c>
      <c r="G172" s="8" t="str">
        <f t="shared" si="0"/>
        <v>Marketing</v>
      </c>
      <c r="H172" s="8" t="s">
        <v>29</v>
      </c>
      <c r="I172" s="9">
        <v>6985</v>
      </c>
      <c r="J172" s="10">
        <v>0.3</v>
      </c>
      <c r="K172" s="11">
        <f t="shared" si="1"/>
        <v>2095.5</v>
      </c>
      <c r="L172" s="6" t="s">
        <v>27</v>
      </c>
      <c r="M172" s="6" t="s">
        <v>21</v>
      </c>
      <c r="N172" s="6" t="s">
        <v>34</v>
      </c>
      <c r="O172" s="3"/>
      <c r="P172" s="4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6.5" customHeight="1" x14ac:dyDescent="0.3">
      <c r="A173" s="5">
        <v>45182</v>
      </c>
      <c r="B173" s="6" t="s">
        <v>74</v>
      </c>
      <c r="C173" s="6" t="s">
        <v>15</v>
      </c>
      <c r="D173" s="7" t="s">
        <v>68</v>
      </c>
      <c r="E173" s="6" t="s">
        <v>24</v>
      </c>
      <c r="F173" s="8" t="s">
        <v>41</v>
      </c>
      <c r="G173" s="8" t="str">
        <f t="shared" si="0"/>
        <v>Copywriting</v>
      </c>
      <c r="H173" s="8" t="s">
        <v>33</v>
      </c>
      <c r="I173" s="9">
        <v>7326</v>
      </c>
      <c r="J173" s="10">
        <v>0.25</v>
      </c>
      <c r="K173" s="11">
        <f t="shared" si="1"/>
        <v>1831.5</v>
      </c>
      <c r="L173" s="6" t="s">
        <v>27</v>
      </c>
      <c r="M173" s="6" t="s">
        <v>21</v>
      </c>
      <c r="N173" s="6" t="s">
        <v>37</v>
      </c>
      <c r="O173" s="3"/>
      <c r="P173" s="4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6.5" customHeight="1" x14ac:dyDescent="0.3">
      <c r="A174" s="5">
        <v>45184</v>
      </c>
      <c r="B174" s="6" t="s">
        <v>74</v>
      </c>
      <c r="C174" s="6" t="s">
        <v>15</v>
      </c>
      <c r="D174" s="7" t="s">
        <v>56</v>
      </c>
      <c r="E174" s="6" t="s">
        <v>17</v>
      </c>
      <c r="F174" s="8" t="s">
        <v>41</v>
      </c>
      <c r="G174" s="8" t="str">
        <f t="shared" si="0"/>
        <v>Copywriting</v>
      </c>
      <c r="H174" s="8" t="s">
        <v>33</v>
      </c>
      <c r="I174" s="9">
        <v>6465</v>
      </c>
      <c r="J174" s="10">
        <v>0.25</v>
      </c>
      <c r="K174" s="11">
        <f t="shared" si="1"/>
        <v>1616.25</v>
      </c>
      <c r="L174" s="6" t="s">
        <v>20</v>
      </c>
      <c r="M174" s="6" t="s">
        <v>21</v>
      </c>
      <c r="N174" s="6" t="s">
        <v>34</v>
      </c>
      <c r="O174" s="3"/>
      <c r="P174" s="4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6.5" customHeight="1" x14ac:dyDescent="0.3">
      <c r="A175" s="5">
        <v>45189</v>
      </c>
      <c r="B175" s="6" t="s">
        <v>74</v>
      </c>
      <c r="C175" s="6" t="s">
        <v>15</v>
      </c>
      <c r="D175" s="7" t="s">
        <v>16</v>
      </c>
      <c r="E175" s="6" t="s">
        <v>17</v>
      </c>
      <c r="F175" s="8" t="s">
        <v>25</v>
      </c>
      <c r="G175" s="8" t="str">
        <f t="shared" si="0"/>
        <v>Marketing</v>
      </c>
      <c r="H175" s="8" t="s">
        <v>19</v>
      </c>
      <c r="I175" s="9">
        <v>6603</v>
      </c>
      <c r="J175" s="10">
        <v>0.25</v>
      </c>
      <c r="K175" s="11">
        <f t="shared" si="1"/>
        <v>1650.75</v>
      </c>
      <c r="L175" s="6" t="s">
        <v>27</v>
      </c>
      <c r="M175" s="6" t="s">
        <v>46</v>
      </c>
      <c r="N175" s="6" t="s">
        <v>30</v>
      </c>
      <c r="O175" s="3"/>
      <c r="P175" s="4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6.5" customHeight="1" x14ac:dyDescent="0.3">
      <c r="A176" s="5">
        <v>45191</v>
      </c>
      <c r="B176" s="6" t="s">
        <v>74</v>
      </c>
      <c r="C176" s="6" t="s">
        <v>15</v>
      </c>
      <c r="D176" s="7" t="s">
        <v>36</v>
      </c>
      <c r="E176" s="6" t="s">
        <v>17</v>
      </c>
      <c r="F176" s="8" t="s">
        <v>39</v>
      </c>
      <c r="G176" s="8" t="str">
        <f t="shared" si="0"/>
        <v>Design</v>
      </c>
      <c r="H176" s="8" t="s">
        <v>26</v>
      </c>
      <c r="I176" s="9">
        <v>5676</v>
      </c>
      <c r="J176" s="10">
        <v>0.35</v>
      </c>
      <c r="K176" s="11">
        <f t="shared" si="1"/>
        <v>1986.6</v>
      </c>
      <c r="L176" s="6" t="s">
        <v>27</v>
      </c>
      <c r="M176" s="6" t="s">
        <v>25</v>
      </c>
      <c r="N176" s="6" t="s">
        <v>22</v>
      </c>
      <c r="O176" s="3"/>
      <c r="P176" s="4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6.5" customHeight="1" x14ac:dyDescent="0.3">
      <c r="A177" s="5">
        <v>45191</v>
      </c>
      <c r="B177" s="6" t="s">
        <v>74</v>
      </c>
      <c r="C177" s="6" t="s">
        <v>15</v>
      </c>
      <c r="D177" s="7" t="s">
        <v>43</v>
      </c>
      <c r="E177" s="6" t="s">
        <v>24</v>
      </c>
      <c r="F177" s="8" t="s">
        <v>25</v>
      </c>
      <c r="G177" s="8" t="str">
        <f t="shared" si="0"/>
        <v>Marketing</v>
      </c>
      <c r="H177" s="8" t="s">
        <v>29</v>
      </c>
      <c r="I177" s="9">
        <v>6258</v>
      </c>
      <c r="J177" s="10">
        <v>0.25</v>
      </c>
      <c r="K177" s="11">
        <f t="shared" si="1"/>
        <v>1564.5</v>
      </c>
      <c r="L177" s="6" t="s">
        <v>27</v>
      </c>
      <c r="M177" s="6" t="s">
        <v>25</v>
      </c>
      <c r="N177" s="6" t="s">
        <v>37</v>
      </c>
      <c r="O177" s="3"/>
      <c r="P177" s="4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6.5" customHeight="1" x14ac:dyDescent="0.3">
      <c r="A178" s="5">
        <v>45195</v>
      </c>
      <c r="B178" s="6" t="s">
        <v>74</v>
      </c>
      <c r="C178" s="6" t="s">
        <v>15</v>
      </c>
      <c r="D178" s="7" t="s">
        <v>45</v>
      </c>
      <c r="E178" s="6" t="s">
        <v>17</v>
      </c>
      <c r="F178" s="8" t="s">
        <v>41</v>
      </c>
      <c r="G178" s="8" t="str">
        <f t="shared" si="0"/>
        <v>Copywriting</v>
      </c>
      <c r="H178" s="8" t="s">
        <v>33</v>
      </c>
      <c r="I178" s="9">
        <v>7890</v>
      </c>
      <c r="J178" s="10">
        <v>0.25</v>
      </c>
      <c r="K178" s="11">
        <f t="shared" si="1"/>
        <v>1972.5</v>
      </c>
      <c r="L178" s="6" t="s">
        <v>20</v>
      </c>
      <c r="M178" s="6" t="s">
        <v>46</v>
      </c>
      <c r="N178" s="6" t="s">
        <v>37</v>
      </c>
      <c r="O178" s="3"/>
      <c r="P178" s="4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6.5" customHeight="1" x14ac:dyDescent="0.3">
      <c r="A179" s="5">
        <v>45195</v>
      </c>
      <c r="B179" s="6" t="s">
        <v>74</v>
      </c>
      <c r="C179" s="6" t="s">
        <v>15</v>
      </c>
      <c r="D179" s="7" t="s">
        <v>63</v>
      </c>
      <c r="E179" s="6" t="s">
        <v>17</v>
      </c>
      <c r="F179" s="8" t="s">
        <v>25</v>
      </c>
      <c r="G179" s="8" t="str">
        <f t="shared" si="0"/>
        <v>Marketing</v>
      </c>
      <c r="H179" s="8" t="s">
        <v>26</v>
      </c>
      <c r="I179" s="9">
        <v>7460</v>
      </c>
      <c r="J179" s="10">
        <v>0.25</v>
      </c>
      <c r="K179" s="11">
        <f t="shared" si="1"/>
        <v>1865</v>
      </c>
      <c r="L179" s="6" t="s">
        <v>27</v>
      </c>
      <c r="M179" s="6" t="s">
        <v>25</v>
      </c>
      <c r="N179" s="6" t="s">
        <v>34</v>
      </c>
      <c r="O179" s="3"/>
      <c r="P179" s="4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6.5" customHeight="1" x14ac:dyDescent="0.3">
      <c r="A180" s="5">
        <v>45197</v>
      </c>
      <c r="B180" s="6" t="s">
        <v>74</v>
      </c>
      <c r="C180" s="6" t="s">
        <v>15</v>
      </c>
      <c r="D180" s="7" t="s">
        <v>44</v>
      </c>
      <c r="E180" s="6" t="s">
        <v>24</v>
      </c>
      <c r="F180" s="8" t="s">
        <v>25</v>
      </c>
      <c r="G180" s="8" t="str">
        <f t="shared" si="0"/>
        <v>Marketing</v>
      </c>
      <c r="H180" s="8" t="s">
        <v>26</v>
      </c>
      <c r="I180" s="9">
        <v>6782</v>
      </c>
      <c r="J180" s="10">
        <v>0.25</v>
      </c>
      <c r="K180" s="11">
        <f t="shared" si="1"/>
        <v>1695.5</v>
      </c>
      <c r="L180" s="6" t="s">
        <v>20</v>
      </c>
      <c r="M180" s="6" t="s">
        <v>25</v>
      </c>
      <c r="N180" s="6" t="s">
        <v>22</v>
      </c>
      <c r="O180" s="3"/>
      <c r="P180" s="4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6.5" customHeight="1" x14ac:dyDescent="0.3">
      <c r="A181" s="5">
        <v>45199</v>
      </c>
      <c r="B181" s="6" t="s">
        <v>74</v>
      </c>
      <c r="C181" s="6" t="s">
        <v>15</v>
      </c>
      <c r="D181" s="7" t="s">
        <v>52</v>
      </c>
      <c r="E181" s="6" t="s">
        <v>17</v>
      </c>
      <c r="F181" s="8" t="s">
        <v>25</v>
      </c>
      <c r="G181" s="8" t="str">
        <f t="shared" si="0"/>
        <v>Marketing</v>
      </c>
      <c r="H181" s="8" t="s">
        <v>42</v>
      </c>
      <c r="I181" s="9">
        <v>7220</v>
      </c>
      <c r="J181" s="10">
        <v>0.25</v>
      </c>
      <c r="K181" s="11">
        <f t="shared" si="1"/>
        <v>1805</v>
      </c>
      <c r="L181" s="6" t="s">
        <v>20</v>
      </c>
      <c r="M181" s="6" t="s">
        <v>46</v>
      </c>
      <c r="N181" s="6" t="s">
        <v>37</v>
      </c>
      <c r="O181" s="3"/>
      <c r="P181" s="4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6.5" customHeight="1" x14ac:dyDescent="0.3">
      <c r="A182" s="5">
        <v>45200</v>
      </c>
      <c r="B182" s="6" t="s">
        <v>75</v>
      </c>
      <c r="C182" s="6" t="s">
        <v>15</v>
      </c>
      <c r="D182" s="7" t="s">
        <v>49</v>
      </c>
      <c r="E182" s="6" t="s">
        <v>17</v>
      </c>
      <c r="F182" s="8" t="s">
        <v>25</v>
      </c>
      <c r="G182" s="8" t="str">
        <f t="shared" si="0"/>
        <v>Marketing</v>
      </c>
      <c r="H182" s="8" t="s">
        <v>29</v>
      </c>
      <c r="I182" s="9">
        <v>6768</v>
      </c>
      <c r="J182" s="10">
        <v>0.25</v>
      </c>
      <c r="K182" s="11">
        <f t="shared" si="1"/>
        <v>1692</v>
      </c>
      <c r="L182" s="6" t="s">
        <v>20</v>
      </c>
      <c r="M182" s="6" t="s">
        <v>46</v>
      </c>
      <c r="N182" s="6" t="s">
        <v>37</v>
      </c>
      <c r="O182" s="3"/>
      <c r="P182" s="4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6.5" customHeight="1" x14ac:dyDescent="0.3">
      <c r="A183" s="5">
        <v>45201</v>
      </c>
      <c r="B183" s="6" t="s">
        <v>75</v>
      </c>
      <c r="C183" s="6" t="s">
        <v>15</v>
      </c>
      <c r="D183" s="7" t="s">
        <v>16</v>
      </c>
      <c r="E183" s="6" t="s">
        <v>17</v>
      </c>
      <c r="F183" s="8" t="s">
        <v>41</v>
      </c>
      <c r="G183" s="8" t="str">
        <f t="shared" si="0"/>
        <v>Copywriting</v>
      </c>
      <c r="H183" s="8" t="s">
        <v>33</v>
      </c>
      <c r="I183" s="9">
        <v>6336</v>
      </c>
      <c r="J183" s="10">
        <v>0.25</v>
      </c>
      <c r="K183" s="11">
        <f t="shared" si="1"/>
        <v>1584</v>
      </c>
      <c r="L183" s="6" t="s">
        <v>27</v>
      </c>
      <c r="M183" s="6" t="s">
        <v>25</v>
      </c>
      <c r="N183" s="6" t="s">
        <v>34</v>
      </c>
      <c r="O183" s="3"/>
      <c r="P183" s="4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6.5" customHeight="1" x14ac:dyDescent="0.3">
      <c r="A184" s="5">
        <v>45203</v>
      </c>
      <c r="B184" s="6" t="s">
        <v>75</v>
      </c>
      <c r="C184" s="6" t="s">
        <v>15</v>
      </c>
      <c r="D184" s="7" t="s">
        <v>57</v>
      </c>
      <c r="E184" s="6" t="s">
        <v>24</v>
      </c>
      <c r="F184" s="8" t="s">
        <v>25</v>
      </c>
      <c r="G184" s="8" t="str">
        <f t="shared" si="0"/>
        <v>Marketing</v>
      </c>
      <c r="H184" s="8" t="s">
        <v>29</v>
      </c>
      <c r="I184" s="9">
        <v>6188</v>
      </c>
      <c r="J184" s="10">
        <v>0.25</v>
      </c>
      <c r="K184" s="11">
        <f t="shared" si="1"/>
        <v>1547</v>
      </c>
      <c r="L184" s="6" t="s">
        <v>20</v>
      </c>
      <c r="M184" s="6" t="s">
        <v>46</v>
      </c>
      <c r="N184" s="6" t="s">
        <v>37</v>
      </c>
      <c r="O184" s="3"/>
      <c r="P184" s="4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6.5" customHeight="1" x14ac:dyDescent="0.3">
      <c r="A185" s="5">
        <v>45204</v>
      </c>
      <c r="B185" s="6" t="s">
        <v>75</v>
      </c>
      <c r="C185" s="6" t="s">
        <v>15</v>
      </c>
      <c r="D185" s="7" t="s">
        <v>62</v>
      </c>
      <c r="E185" s="6" t="s">
        <v>24</v>
      </c>
      <c r="F185" s="8" t="s">
        <v>39</v>
      </c>
      <c r="G185" s="8" t="str">
        <f t="shared" si="0"/>
        <v>Design</v>
      </c>
      <c r="H185" s="8" t="s">
        <v>33</v>
      </c>
      <c r="I185" s="9">
        <v>5157</v>
      </c>
      <c r="J185" s="10">
        <v>0.35</v>
      </c>
      <c r="K185" s="11">
        <f t="shared" si="1"/>
        <v>1804.9499999999998</v>
      </c>
      <c r="L185" s="6" t="s">
        <v>27</v>
      </c>
      <c r="M185" s="6" t="s">
        <v>21</v>
      </c>
      <c r="N185" s="6" t="s">
        <v>37</v>
      </c>
      <c r="O185" s="3"/>
      <c r="P185" s="4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6.5" customHeight="1" x14ac:dyDescent="0.3">
      <c r="A186" s="5">
        <v>45205</v>
      </c>
      <c r="B186" s="6" t="s">
        <v>75</v>
      </c>
      <c r="C186" s="6" t="s">
        <v>15</v>
      </c>
      <c r="D186" s="7" t="s">
        <v>47</v>
      </c>
      <c r="E186" s="6" t="s">
        <v>24</v>
      </c>
      <c r="F186" s="8" t="s">
        <v>41</v>
      </c>
      <c r="G186" s="8" t="str">
        <f t="shared" si="0"/>
        <v>Copywriting</v>
      </c>
      <c r="H186" s="8" t="s">
        <v>19</v>
      </c>
      <c r="I186" s="9">
        <v>6650</v>
      </c>
      <c r="J186" s="10">
        <v>0.25</v>
      </c>
      <c r="K186" s="11">
        <f t="shared" si="1"/>
        <v>1662.5</v>
      </c>
      <c r="L186" s="6" t="s">
        <v>20</v>
      </c>
      <c r="M186" s="6" t="s">
        <v>21</v>
      </c>
      <c r="N186" s="6" t="s">
        <v>34</v>
      </c>
      <c r="O186" s="3"/>
      <c r="P186" s="4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6.5" customHeight="1" x14ac:dyDescent="0.3">
      <c r="A187" s="5">
        <v>45207</v>
      </c>
      <c r="B187" s="6" t="s">
        <v>75</v>
      </c>
      <c r="C187" s="6" t="s">
        <v>15</v>
      </c>
      <c r="D187" s="7" t="s">
        <v>40</v>
      </c>
      <c r="E187" s="6" t="s">
        <v>17</v>
      </c>
      <c r="F187" s="8" t="s">
        <v>41</v>
      </c>
      <c r="G187" s="8" t="str">
        <f t="shared" si="0"/>
        <v>Copywriting</v>
      </c>
      <c r="H187" s="8" t="s">
        <v>42</v>
      </c>
      <c r="I187" s="9">
        <v>5451</v>
      </c>
      <c r="J187" s="10">
        <v>0.25</v>
      </c>
      <c r="K187" s="11">
        <f t="shared" si="1"/>
        <v>1362.75</v>
      </c>
      <c r="L187" s="6" t="s">
        <v>20</v>
      </c>
      <c r="M187" s="6" t="s">
        <v>46</v>
      </c>
      <c r="N187" s="6" t="s">
        <v>22</v>
      </c>
      <c r="O187" s="3"/>
      <c r="P187" s="4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6.5" customHeight="1" x14ac:dyDescent="0.3">
      <c r="A188" s="5">
        <v>45209</v>
      </c>
      <c r="B188" s="6" t="s">
        <v>75</v>
      </c>
      <c r="C188" s="6" t="s">
        <v>15</v>
      </c>
      <c r="D188" s="7" t="s">
        <v>66</v>
      </c>
      <c r="E188" s="6" t="s">
        <v>24</v>
      </c>
      <c r="F188" s="8" t="s">
        <v>41</v>
      </c>
      <c r="G188" s="8" t="str">
        <f t="shared" si="0"/>
        <v>Copywriting</v>
      </c>
      <c r="H188" s="8" t="s">
        <v>29</v>
      </c>
      <c r="I188" s="9">
        <v>7652</v>
      </c>
      <c r="J188" s="10">
        <v>0.25</v>
      </c>
      <c r="K188" s="11">
        <f t="shared" si="1"/>
        <v>1913</v>
      </c>
      <c r="L188" s="6" t="s">
        <v>27</v>
      </c>
      <c r="M188" s="6" t="s">
        <v>46</v>
      </c>
      <c r="N188" s="6" t="s">
        <v>22</v>
      </c>
      <c r="O188" s="3"/>
      <c r="P188" s="4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6.5" customHeight="1" x14ac:dyDescent="0.3">
      <c r="A189" s="5">
        <v>45210</v>
      </c>
      <c r="B189" s="6" t="s">
        <v>75</v>
      </c>
      <c r="C189" s="6" t="s">
        <v>15</v>
      </c>
      <c r="D189" s="7" t="s">
        <v>66</v>
      </c>
      <c r="E189" s="6" t="s">
        <v>24</v>
      </c>
      <c r="F189" s="8" t="s">
        <v>32</v>
      </c>
      <c r="G189" s="8" t="str">
        <f t="shared" si="0"/>
        <v>Design</v>
      </c>
      <c r="H189" s="8" t="s">
        <v>26</v>
      </c>
      <c r="I189" s="9">
        <v>6212</v>
      </c>
      <c r="J189" s="10">
        <v>0.4</v>
      </c>
      <c r="K189" s="11">
        <f t="shared" si="1"/>
        <v>2484.8000000000002</v>
      </c>
      <c r="L189" s="6" t="s">
        <v>20</v>
      </c>
      <c r="M189" s="6" t="s">
        <v>21</v>
      </c>
      <c r="N189" s="6" t="s">
        <v>30</v>
      </c>
      <c r="O189" s="3"/>
      <c r="P189" s="4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6.5" customHeight="1" x14ac:dyDescent="0.3">
      <c r="A190" s="5">
        <v>45211</v>
      </c>
      <c r="B190" s="6" t="s">
        <v>75</v>
      </c>
      <c r="C190" s="6" t="s">
        <v>15</v>
      </c>
      <c r="D190" s="7" t="s">
        <v>63</v>
      </c>
      <c r="E190" s="6" t="s">
        <v>17</v>
      </c>
      <c r="F190" s="8" t="s">
        <v>18</v>
      </c>
      <c r="G190" s="8" t="str">
        <f t="shared" si="0"/>
        <v>Marketing</v>
      </c>
      <c r="H190" s="8" t="s">
        <v>33</v>
      </c>
      <c r="I190" s="9">
        <v>6510</v>
      </c>
      <c r="J190" s="10">
        <v>0.3</v>
      </c>
      <c r="K190" s="11">
        <f t="shared" si="1"/>
        <v>1953</v>
      </c>
      <c r="L190" s="6" t="s">
        <v>27</v>
      </c>
      <c r="M190" s="6" t="s">
        <v>21</v>
      </c>
      <c r="N190" s="6" t="s">
        <v>30</v>
      </c>
      <c r="O190" s="3"/>
      <c r="P190" s="4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6.5" customHeight="1" x14ac:dyDescent="0.3">
      <c r="A191" s="5">
        <v>45212</v>
      </c>
      <c r="B191" s="6" t="s">
        <v>75</v>
      </c>
      <c r="C191" s="6" t="s">
        <v>15</v>
      </c>
      <c r="D191" s="7" t="s">
        <v>31</v>
      </c>
      <c r="E191" s="6" t="s">
        <v>24</v>
      </c>
      <c r="F191" s="8" t="s">
        <v>41</v>
      </c>
      <c r="G191" s="8" t="str">
        <f t="shared" si="0"/>
        <v>Copywriting</v>
      </c>
      <c r="H191" s="8" t="s">
        <v>19</v>
      </c>
      <c r="I191" s="9">
        <v>6658</v>
      </c>
      <c r="J191" s="10">
        <v>0.25</v>
      </c>
      <c r="K191" s="11">
        <f t="shared" si="1"/>
        <v>1664.5</v>
      </c>
      <c r="L191" s="6" t="s">
        <v>20</v>
      </c>
      <c r="M191" s="6" t="s">
        <v>46</v>
      </c>
      <c r="N191" s="6" t="s">
        <v>34</v>
      </c>
      <c r="O191" s="3"/>
      <c r="P191" s="4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6.5" customHeight="1" x14ac:dyDescent="0.3">
      <c r="A192" s="5">
        <v>45215</v>
      </c>
      <c r="B192" s="6" t="s">
        <v>75</v>
      </c>
      <c r="C192" s="6" t="s">
        <v>15</v>
      </c>
      <c r="D192" s="7" t="s">
        <v>66</v>
      </c>
      <c r="E192" s="6" t="s">
        <v>24</v>
      </c>
      <c r="F192" s="8" t="s">
        <v>25</v>
      </c>
      <c r="G192" s="8" t="str">
        <f t="shared" si="0"/>
        <v>Marketing</v>
      </c>
      <c r="H192" s="8" t="s">
        <v>26</v>
      </c>
      <c r="I192" s="9">
        <v>5881</v>
      </c>
      <c r="J192" s="10">
        <v>0.25</v>
      </c>
      <c r="K192" s="11">
        <f t="shared" si="1"/>
        <v>1470.25</v>
      </c>
      <c r="L192" s="6" t="s">
        <v>27</v>
      </c>
      <c r="M192" s="6" t="s">
        <v>25</v>
      </c>
      <c r="N192" s="6" t="s">
        <v>22</v>
      </c>
      <c r="O192" s="3"/>
      <c r="P192" s="4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6.5" customHeight="1" x14ac:dyDescent="0.3">
      <c r="A193" s="5">
        <v>45220</v>
      </c>
      <c r="B193" s="6" t="s">
        <v>75</v>
      </c>
      <c r="C193" s="6" t="s">
        <v>15</v>
      </c>
      <c r="D193" s="7" t="s">
        <v>63</v>
      </c>
      <c r="E193" s="6" t="s">
        <v>17</v>
      </c>
      <c r="F193" s="8" t="s">
        <v>25</v>
      </c>
      <c r="G193" s="8" t="str">
        <f t="shared" si="0"/>
        <v>Marketing</v>
      </c>
      <c r="H193" s="8" t="s">
        <v>29</v>
      </c>
      <c r="I193" s="9">
        <v>5401</v>
      </c>
      <c r="J193" s="10">
        <v>0.25</v>
      </c>
      <c r="K193" s="11">
        <f t="shared" si="1"/>
        <v>1350.25</v>
      </c>
      <c r="L193" s="6" t="s">
        <v>27</v>
      </c>
      <c r="M193" s="6" t="s">
        <v>25</v>
      </c>
      <c r="N193" s="6" t="s">
        <v>34</v>
      </c>
      <c r="O193" s="3"/>
      <c r="P193" s="4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6.5" customHeight="1" x14ac:dyDescent="0.3">
      <c r="A194" s="5">
        <v>45220</v>
      </c>
      <c r="B194" s="6" t="s">
        <v>75</v>
      </c>
      <c r="C194" s="6" t="s">
        <v>15</v>
      </c>
      <c r="D194" s="7" t="s">
        <v>48</v>
      </c>
      <c r="E194" s="6" t="s">
        <v>17</v>
      </c>
      <c r="F194" s="8" t="s">
        <v>32</v>
      </c>
      <c r="G194" s="8" t="str">
        <f t="shared" si="0"/>
        <v>Design</v>
      </c>
      <c r="H194" s="8" t="s">
        <v>19</v>
      </c>
      <c r="I194" s="9">
        <v>5510</v>
      </c>
      <c r="J194" s="10">
        <v>0.4</v>
      </c>
      <c r="K194" s="11">
        <f t="shared" si="1"/>
        <v>2204</v>
      </c>
      <c r="L194" s="6" t="s">
        <v>27</v>
      </c>
      <c r="M194" s="6" t="s">
        <v>21</v>
      </c>
      <c r="N194" s="6" t="s">
        <v>22</v>
      </c>
      <c r="O194" s="3"/>
      <c r="P194" s="4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6.5" customHeight="1" x14ac:dyDescent="0.3">
      <c r="A195" s="5">
        <v>45221</v>
      </c>
      <c r="B195" s="6" t="s">
        <v>75</v>
      </c>
      <c r="C195" s="6" t="s">
        <v>15</v>
      </c>
      <c r="D195" s="7" t="s">
        <v>73</v>
      </c>
      <c r="E195" s="6" t="s">
        <v>24</v>
      </c>
      <c r="F195" s="8" t="s">
        <v>18</v>
      </c>
      <c r="G195" s="8" t="str">
        <f t="shared" si="0"/>
        <v>Marketing</v>
      </c>
      <c r="H195" s="8" t="s">
        <v>19</v>
      </c>
      <c r="I195" s="9">
        <v>5127</v>
      </c>
      <c r="J195" s="10">
        <v>0.3</v>
      </c>
      <c r="K195" s="11">
        <f t="shared" si="1"/>
        <v>1538.1</v>
      </c>
      <c r="L195" s="6" t="s">
        <v>20</v>
      </c>
      <c r="M195" s="6" t="s">
        <v>21</v>
      </c>
      <c r="N195" s="6" t="s">
        <v>22</v>
      </c>
      <c r="O195" s="3"/>
      <c r="P195" s="4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6.5" customHeight="1" x14ac:dyDescent="0.3">
      <c r="A196" s="5">
        <v>45224</v>
      </c>
      <c r="B196" s="6" t="s">
        <v>75</v>
      </c>
      <c r="C196" s="6" t="s">
        <v>15</v>
      </c>
      <c r="D196" s="7" t="s">
        <v>48</v>
      </c>
      <c r="E196" s="6" t="s">
        <v>17</v>
      </c>
      <c r="F196" s="8" t="s">
        <v>18</v>
      </c>
      <c r="G196" s="8" t="str">
        <f t="shared" si="0"/>
        <v>Marketing</v>
      </c>
      <c r="H196" s="8" t="s">
        <v>29</v>
      </c>
      <c r="I196" s="9">
        <v>6832</v>
      </c>
      <c r="J196" s="10">
        <v>0.3</v>
      </c>
      <c r="K196" s="11">
        <f t="shared" si="1"/>
        <v>2049.6</v>
      </c>
      <c r="L196" s="6" t="s">
        <v>27</v>
      </c>
      <c r="M196" s="6" t="s">
        <v>25</v>
      </c>
      <c r="N196" s="6" t="s">
        <v>37</v>
      </c>
      <c r="O196" s="3"/>
      <c r="P196" s="4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6.5" customHeight="1" x14ac:dyDescent="0.3">
      <c r="A197" s="5">
        <v>45226</v>
      </c>
      <c r="B197" s="6" t="s">
        <v>75</v>
      </c>
      <c r="C197" s="6" t="s">
        <v>15</v>
      </c>
      <c r="D197" s="7" t="s">
        <v>45</v>
      </c>
      <c r="E197" s="6" t="s">
        <v>17</v>
      </c>
      <c r="F197" s="8" t="s">
        <v>18</v>
      </c>
      <c r="G197" s="8" t="str">
        <f t="shared" si="0"/>
        <v>Marketing</v>
      </c>
      <c r="H197" s="8" t="s">
        <v>29</v>
      </c>
      <c r="I197" s="9">
        <v>7570</v>
      </c>
      <c r="J197" s="10">
        <v>0.3</v>
      </c>
      <c r="K197" s="11">
        <f t="shared" si="1"/>
        <v>2271</v>
      </c>
      <c r="L197" s="6" t="s">
        <v>20</v>
      </c>
      <c r="M197" s="6" t="s">
        <v>21</v>
      </c>
      <c r="N197" s="6" t="s">
        <v>34</v>
      </c>
      <c r="O197" s="3"/>
      <c r="P197" s="4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6.5" customHeight="1" x14ac:dyDescent="0.3">
      <c r="A198" s="5">
        <v>45227</v>
      </c>
      <c r="B198" s="6" t="s">
        <v>75</v>
      </c>
      <c r="C198" s="6" t="s">
        <v>15</v>
      </c>
      <c r="D198" s="7" t="s">
        <v>56</v>
      </c>
      <c r="E198" s="6" t="s">
        <v>17</v>
      </c>
      <c r="F198" s="8" t="s">
        <v>18</v>
      </c>
      <c r="G198" s="8" t="str">
        <f t="shared" si="0"/>
        <v>Marketing</v>
      </c>
      <c r="H198" s="8" t="s">
        <v>29</v>
      </c>
      <c r="I198" s="9">
        <v>5494</v>
      </c>
      <c r="J198" s="10">
        <v>0.3</v>
      </c>
      <c r="K198" s="11">
        <f t="shared" si="1"/>
        <v>1648.2</v>
      </c>
      <c r="L198" s="6" t="s">
        <v>20</v>
      </c>
      <c r="M198" s="6" t="s">
        <v>21</v>
      </c>
      <c r="N198" s="6" t="s">
        <v>30</v>
      </c>
      <c r="O198" s="3"/>
      <c r="P198" s="4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6.5" customHeight="1" x14ac:dyDescent="0.3">
      <c r="A199" s="5">
        <v>45228</v>
      </c>
      <c r="B199" s="6" t="s">
        <v>75</v>
      </c>
      <c r="C199" s="6" t="s">
        <v>15</v>
      </c>
      <c r="D199" s="7" t="s">
        <v>66</v>
      </c>
      <c r="E199" s="6" t="s">
        <v>24</v>
      </c>
      <c r="F199" s="8" t="s">
        <v>39</v>
      </c>
      <c r="G199" s="8" t="str">
        <f t="shared" si="0"/>
        <v>Design</v>
      </c>
      <c r="H199" s="8" t="s">
        <v>33</v>
      </c>
      <c r="I199" s="9">
        <v>6452</v>
      </c>
      <c r="J199" s="10">
        <v>0.35</v>
      </c>
      <c r="K199" s="11">
        <f t="shared" si="1"/>
        <v>2258.1999999999998</v>
      </c>
      <c r="L199" s="6" t="s">
        <v>20</v>
      </c>
      <c r="M199" s="6" t="s">
        <v>25</v>
      </c>
      <c r="N199" s="6" t="s">
        <v>30</v>
      </c>
      <c r="O199" s="3"/>
      <c r="P199" s="4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6.5" customHeight="1" x14ac:dyDescent="0.3">
      <c r="A200" s="5">
        <v>45230</v>
      </c>
      <c r="B200" s="6" t="s">
        <v>75</v>
      </c>
      <c r="C200" s="6" t="s">
        <v>15</v>
      </c>
      <c r="D200" s="7" t="s">
        <v>40</v>
      </c>
      <c r="E200" s="6" t="s">
        <v>17</v>
      </c>
      <c r="F200" s="8" t="s">
        <v>18</v>
      </c>
      <c r="G200" s="8" t="str">
        <f t="shared" si="0"/>
        <v>Marketing</v>
      </c>
      <c r="H200" s="8" t="s">
        <v>33</v>
      </c>
      <c r="I200" s="9">
        <v>5529</v>
      </c>
      <c r="J200" s="10">
        <v>0.3</v>
      </c>
      <c r="K200" s="11">
        <f t="shared" si="1"/>
        <v>1658.7</v>
      </c>
      <c r="L200" s="6" t="s">
        <v>27</v>
      </c>
      <c r="M200" s="6" t="s">
        <v>46</v>
      </c>
      <c r="N200" s="6" t="s">
        <v>34</v>
      </c>
      <c r="O200" s="3"/>
      <c r="P200" s="4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6.5" customHeight="1" x14ac:dyDescent="0.3">
      <c r="A201" s="5">
        <v>45230</v>
      </c>
      <c r="B201" s="6" t="s">
        <v>75</v>
      </c>
      <c r="C201" s="6" t="s">
        <v>15</v>
      </c>
      <c r="D201" s="7" t="s">
        <v>35</v>
      </c>
      <c r="E201" s="6" t="s">
        <v>24</v>
      </c>
      <c r="F201" s="8" t="s">
        <v>41</v>
      </c>
      <c r="G201" s="8" t="str">
        <f t="shared" si="0"/>
        <v>Copywriting</v>
      </c>
      <c r="H201" s="8" t="s">
        <v>29</v>
      </c>
      <c r="I201" s="9">
        <v>6344</v>
      </c>
      <c r="J201" s="10">
        <v>0.25</v>
      </c>
      <c r="K201" s="11">
        <f t="shared" si="1"/>
        <v>1586</v>
      </c>
      <c r="L201" s="6" t="s">
        <v>20</v>
      </c>
      <c r="M201" s="6" t="s">
        <v>25</v>
      </c>
      <c r="N201" s="6" t="s">
        <v>30</v>
      </c>
      <c r="O201" s="3"/>
      <c r="P201" s="4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6.5" customHeight="1" x14ac:dyDescent="0.3">
      <c r="A202" s="5">
        <v>45232</v>
      </c>
      <c r="B202" s="6" t="s">
        <v>76</v>
      </c>
      <c r="C202" s="6" t="s">
        <v>15</v>
      </c>
      <c r="D202" s="7" t="s">
        <v>63</v>
      </c>
      <c r="E202" s="6" t="s">
        <v>17</v>
      </c>
      <c r="F202" s="8" t="s">
        <v>32</v>
      </c>
      <c r="G202" s="8" t="str">
        <f t="shared" si="0"/>
        <v>Design</v>
      </c>
      <c r="H202" s="8" t="s">
        <v>33</v>
      </c>
      <c r="I202" s="9">
        <v>5826</v>
      </c>
      <c r="J202" s="10">
        <v>0.4</v>
      </c>
      <c r="K202" s="11">
        <f t="shared" si="1"/>
        <v>2330.4</v>
      </c>
      <c r="L202" s="6" t="s">
        <v>20</v>
      </c>
      <c r="M202" s="6" t="s">
        <v>21</v>
      </c>
      <c r="N202" s="6" t="s">
        <v>22</v>
      </c>
      <c r="O202" s="3"/>
      <c r="P202" s="4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6.5" customHeight="1" x14ac:dyDescent="0.3">
      <c r="A203" s="5">
        <v>45234</v>
      </c>
      <c r="B203" s="6" t="s">
        <v>76</v>
      </c>
      <c r="C203" s="6" t="s">
        <v>15</v>
      </c>
      <c r="D203" s="7" t="s">
        <v>54</v>
      </c>
      <c r="E203" s="6" t="s">
        <v>17</v>
      </c>
      <c r="F203" s="8" t="s">
        <v>32</v>
      </c>
      <c r="G203" s="8" t="str">
        <f t="shared" si="0"/>
        <v>Design</v>
      </c>
      <c r="H203" s="8" t="s">
        <v>42</v>
      </c>
      <c r="I203" s="9">
        <v>5965</v>
      </c>
      <c r="J203" s="10">
        <v>0.4</v>
      </c>
      <c r="K203" s="11">
        <f t="shared" si="1"/>
        <v>2386</v>
      </c>
      <c r="L203" s="6" t="s">
        <v>20</v>
      </c>
      <c r="M203" s="6" t="s">
        <v>46</v>
      </c>
      <c r="N203" s="6" t="s">
        <v>22</v>
      </c>
      <c r="O203" s="3"/>
      <c r="P203" s="4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6.5" customHeight="1" x14ac:dyDescent="0.3">
      <c r="A204" s="5">
        <v>45234</v>
      </c>
      <c r="B204" s="6" t="s">
        <v>76</v>
      </c>
      <c r="C204" s="6" t="s">
        <v>15</v>
      </c>
      <c r="D204" s="7" t="s">
        <v>63</v>
      </c>
      <c r="E204" s="6" t="s">
        <v>17</v>
      </c>
      <c r="F204" s="8" t="s">
        <v>39</v>
      </c>
      <c r="G204" s="8" t="str">
        <f t="shared" si="0"/>
        <v>Design</v>
      </c>
      <c r="H204" s="8" t="s">
        <v>33</v>
      </c>
      <c r="I204" s="9">
        <v>7621</v>
      </c>
      <c r="J204" s="10">
        <v>0.35</v>
      </c>
      <c r="K204" s="11">
        <f t="shared" si="1"/>
        <v>2667.35</v>
      </c>
      <c r="L204" s="6" t="s">
        <v>20</v>
      </c>
      <c r="M204" s="6" t="s">
        <v>46</v>
      </c>
      <c r="N204" s="6" t="s">
        <v>30</v>
      </c>
      <c r="O204" s="3"/>
      <c r="P204" s="4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6.5" customHeight="1" x14ac:dyDescent="0.3">
      <c r="A205" s="5">
        <v>45237</v>
      </c>
      <c r="B205" s="6" t="s">
        <v>76</v>
      </c>
      <c r="C205" s="6" t="s">
        <v>15</v>
      </c>
      <c r="D205" s="7" t="s">
        <v>56</v>
      </c>
      <c r="E205" s="6" t="s">
        <v>17</v>
      </c>
      <c r="F205" s="8" t="s">
        <v>25</v>
      </c>
      <c r="G205" s="8" t="str">
        <f t="shared" si="0"/>
        <v>Marketing</v>
      </c>
      <c r="H205" s="8" t="s">
        <v>33</v>
      </c>
      <c r="I205" s="9">
        <v>6591</v>
      </c>
      <c r="J205" s="10">
        <v>0.25</v>
      </c>
      <c r="K205" s="11">
        <f t="shared" si="1"/>
        <v>1647.75</v>
      </c>
      <c r="L205" s="6" t="s">
        <v>27</v>
      </c>
      <c r="M205" s="6" t="s">
        <v>46</v>
      </c>
      <c r="N205" s="6" t="s">
        <v>30</v>
      </c>
      <c r="O205" s="3"/>
      <c r="P205" s="4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6.5" customHeight="1" x14ac:dyDescent="0.3">
      <c r="A206" s="5">
        <v>45237</v>
      </c>
      <c r="B206" s="6" t="s">
        <v>76</v>
      </c>
      <c r="C206" s="6" t="s">
        <v>15</v>
      </c>
      <c r="D206" s="7" t="s">
        <v>57</v>
      </c>
      <c r="E206" s="6" t="s">
        <v>24</v>
      </c>
      <c r="F206" s="8" t="s">
        <v>39</v>
      </c>
      <c r="G206" s="8" t="str">
        <f t="shared" si="0"/>
        <v>Design</v>
      </c>
      <c r="H206" s="8" t="s">
        <v>26</v>
      </c>
      <c r="I206" s="9">
        <v>5713</v>
      </c>
      <c r="J206" s="10">
        <v>0.35</v>
      </c>
      <c r="K206" s="11">
        <f t="shared" si="1"/>
        <v>1999.55</v>
      </c>
      <c r="L206" s="6" t="s">
        <v>20</v>
      </c>
      <c r="M206" s="6" t="s">
        <v>21</v>
      </c>
      <c r="N206" s="6" t="s">
        <v>37</v>
      </c>
      <c r="O206" s="3"/>
      <c r="P206" s="4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6.5" customHeight="1" x14ac:dyDescent="0.3">
      <c r="A207" s="5">
        <v>45239</v>
      </c>
      <c r="B207" s="6" t="s">
        <v>76</v>
      </c>
      <c r="C207" s="6" t="s">
        <v>15</v>
      </c>
      <c r="D207" s="7" t="s">
        <v>36</v>
      </c>
      <c r="E207" s="6" t="s">
        <v>17</v>
      </c>
      <c r="F207" s="8" t="s">
        <v>41</v>
      </c>
      <c r="G207" s="8" t="str">
        <f t="shared" si="0"/>
        <v>Copywriting</v>
      </c>
      <c r="H207" s="8" t="s">
        <v>29</v>
      </c>
      <c r="I207" s="9">
        <v>7690</v>
      </c>
      <c r="J207" s="10">
        <v>0.25</v>
      </c>
      <c r="K207" s="11">
        <f t="shared" si="1"/>
        <v>1922.5</v>
      </c>
      <c r="L207" s="6" t="s">
        <v>20</v>
      </c>
      <c r="M207" s="6" t="s">
        <v>46</v>
      </c>
      <c r="N207" s="6" t="s">
        <v>37</v>
      </c>
      <c r="O207" s="3"/>
      <c r="P207" s="4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6.5" customHeight="1" x14ac:dyDescent="0.3">
      <c r="A208" s="5">
        <v>45241</v>
      </c>
      <c r="B208" s="6" t="s">
        <v>76</v>
      </c>
      <c r="C208" s="6" t="s">
        <v>15</v>
      </c>
      <c r="D208" s="7" t="s">
        <v>58</v>
      </c>
      <c r="E208" s="6" t="s">
        <v>24</v>
      </c>
      <c r="F208" s="8" t="s">
        <v>18</v>
      </c>
      <c r="G208" s="8" t="str">
        <f t="shared" si="0"/>
        <v>Marketing</v>
      </c>
      <c r="H208" s="8" t="s">
        <v>42</v>
      </c>
      <c r="I208" s="9">
        <v>6501</v>
      </c>
      <c r="J208" s="10">
        <v>0.3</v>
      </c>
      <c r="K208" s="11">
        <f t="shared" si="1"/>
        <v>1950.3</v>
      </c>
      <c r="L208" s="6" t="s">
        <v>20</v>
      </c>
      <c r="M208" s="6" t="s">
        <v>25</v>
      </c>
      <c r="N208" s="6" t="s">
        <v>37</v>
      </c>
      <c r="O208" s="3"/>
      <c r="P208" s="4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6.5" customHeight="1" x14ac:dyDescent="0.3">
      <c r="A209" s="5">
        <v>45243</v>
      </c>
      <c r="B209" s="6" t="s">
        <v>76</v>
      </c>
      <c r="C209" s="6" t="s">
        <v>15</v>
      </c>
      <c r="D209" s="7" t="s">
        <v>55</v>
      </c>
      <c r="E209" s="6" t="s">
        <v>24</v>
      </c>
      <c r="F209" s="8" t="s">
        <v>32</v>
      </c>
      <c r="G209" s="8" t="str">
        <f t="shared" si="0"/>
        <v>Design</v>
      </c>
      <c r="H209" s="8" t="s">
        <v>33</v>
      </c>
      <c r="I209" s="9">
        <v>7420</v>
      </c>
      <c r="J209" s="10">
        <v>0.4</v>
      </c>
      <c r="K209" s="11">
        <f t="shared" si="1"/>
        <v>2968</v>
      </c>
      <c r="L209" s="6" t="s">
        <v>20</v>
      </c>
      <c r="M209" s="6" t="s">
        <v>21</v>
      </c>
      <c r="N209" s="6" t="s">
        <v>30</v>
      </c>
      <c r="O209" s="3"/>
      <c r="P209" s="4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6.5" customHeight="1" x14ac:dyDescent="0.3">
      <c r="A210" s="5">
        <v>45243</v>
      </c>
      <c r="B210" s="6" t="s">
        <v>76</v>
      </c>
      <c r="C210" s="6" t="s">
        <v>15</v>
      </c>
      <c r="D210" s="7" t="s">
        <v>38</v>
      </c>
      <c r="E210" s="6" t="s">
        <v>24</v>
      </c>
      <c r="F210" s="8" t="s">
        <v>32</v>
      </c>
      <c r="G210" s="8" t="str">
        <f t="shared" si="0"/>
        <v>Design</v>
      </c>
      <c r="H210" s="8" t="s">
        <v>29</v>
      </c>
      <c r="I210" s="9">
        <v>7019</v>
      </c>
      <c r="J210" s="10">
        <v>0.4</v>
      </c>
      <c r="K210" s="11">
        <f t="shared" si="1"/>
        <v>2807.6000000000004</v>
      </c>
      <c r="L210" s="6" t="s">
        <v>20</v>
      </c>
      <c r="M210" s="6" t="s">
        <v>46</v>
      </c>
      <c r="N210" s="6" t="s">
        <v>22</v>
      </c>
      <c r="O210" s="3"/>
      <c r="P210" s="4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6.5" customHeight="1" x14ac:dyDescent="0.3">
      <c r="A211" s="5">
        <v>45244</v>
      </c>
      <c r="B211" s="6" t="s">
        <v>76</v>
      </c>
      <c r="C211" s="6" t="s">
        <v>15</v>
      </c>
      <c r="D211" s="7" t="s">
        <v>51</v>
      </c>
      <c r="E211" s="6" t="s">
        <v>24</v>
      </c>
      <c r="F211" s="8" t="s">
        <v>41</v>
      </c>
      <c r="G211" s="8" t="str">
        <f t="shared" si="0"/>
        <v>Copywriting</v>
      </c>
      <c r="H211" s="8" t="s">
        <v>29</v>
      </c>
      <c r="I211" s="9">
        <v>5842</v>
      </c>
      <c r="J211" s="10">
        <v>0.25</v>
      </c>
      <c r="K211" s="11">
        <f t="shared" si="1"/>
        <v>1460.5</v>
      </c>
      <c r="L211" s="6" t="s">
        <v>20</v>
      </c>
      <c r="M211" s="6" t="s">
        <v>25</v>
      </c>
      <c r="N211" s="6" t="s">
        <v>34</v>
      </c>
      <c r="O211" s="3"/>
      <c r="P211" s="4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6.5" customHeight="1" x14ac:dyDescent="0.3">
      <c r="A212" s="5">
        <v>45245</v>
      </c>
      <c r="B212" s="6" t="s">
        <v>76</v>
      </c>
      <c r="C212" s="6" t="s">
        <v>15</v>
      </c>
      <c r="D212" s="7" t="s">
        <v>43</v>
      </c>
      <c r="E212" s="6" t="s">
        <v>24</v>
      </c>
      <c r="F212" s="8" t="s">
        <v>41</v>
      </c>
      <c r="G212" s="8" t="str">
        <f t="shared" si="0"/>
        <v>Copywriting</v>
      </c>
      <c r="H212" s="8" t="s">
        <v>29</v>
      </c>
      <c r="I212" s="9">
        <v>5206</v>
      </c>
      <c r="J212" s="10">
        <v>0.25</v>
      </c>
      <c r="K212" s="11">
        <f t="shared" si="1"/>
        <v>1301.5</v>
      </c>
      <c r="L212" s="6" t="s">
        <v>20</v>
      </c>
      <c r="M212" s="6" t="s">
        <v>25</v>
      </c>
      <c r="N212" s="6" t="s">
        <v>30</v>
      </c>
      <c r="O212" s="3"/>
      <c r="P212" s="4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6.5" customHeight="1" x14ac:dyDescent="0.3">
      <c r="A213" s="5">
        <v>45246</v>
      </c>
      <c r="B213" s="6" t="s">
        <v>76</v>
      </c>
      <c r="C213" s="6" t="s">
        <v>15</v>
      </c>
      <c r="D213" s="7" t="s">
        <v>45</v>
      </c>
      <c r="E213" s="6" t="s">
        <v>17</v>
      </c>
      <c r="F213" s="8" t="s">
        <v>39</v>
      </c>
      <c r="G213" s="8" t="str">
        <f t="shared" si="0"/>
        <v>Design</v>
      </c>
      <c r="H213" s="8" t="s">
        <v>29</v>
      </c>
      <c r="I213" s="9">
        <v>5668</v>
      </c>
      <c r="J213" s="10">
        <v>0.35</v>
      </c>
      <c r="K213" s="11">
        <f t="shared" si="1"/>
        <v>1983.8</v>
      </c>
      <c r="L213" s="6" t="s">
        <v>27</v>
      </c>
      <c r="M213" s="6" t="s">
        <v>46</v>
      </c>
      <c r="N213" s="6" t="s">
        <v>22</v>
      </c>
      <c r="O213" s="3"/>
      <c r="P213" s="4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6.5" customHeight="1" x14ac:dyDescent="0.3">
      <c r="A214" s="5">
        <v>45251</v>
      </c>
      <c r="B214" s="6" t="s">
        <v>76</v>
      </c>
      <c r="C214" s="6" t="s">
        <v>15</v>
      </c>
      <c r="D214" s="7" t="s">
        <v>52</v>
      </c>
      <c r="E214" s="6" t="s">
        <v>17</v>
      </c>
      <c r="F214" s="8" t="s">
        <v>39</v>
      </c>
      <c r="G214" s="8" t="str">
        <f t="shared" si="0"/>
        <v>Design</v>
      </c>
      <c r="H214" s="8" t="s">
        <v>29</v>
      </c>
      <c r="I214" s="9">
        <v>6568</v>
      </c>
      <c r="J214" s="10">
        <v>0.35</v>
      </c>
      <c r="K214" s="11">
        <f t="shared" si="1"/>
        <v>2298.7999999999997</v>
      </c>
      <c r="L214" s="6" t="s">
        <v>20</v>
      </c>
      <c r="M214" s="6" t="s">
        <v>46</v>
      </c>
      <c r="N214" s="6" t="s">
        <v>30</v>
      </c>
      <c r="O214" s="3"/>
      <c r="P214" s="4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6.5" customHeight="1" x14ac:dyDescent="0.3">
      <c r="A215" s="5">
        <v>45251</v>
      </c>
      <c r="B215" s="6" t="s">
        <v>76</v>
      </c>
      <c r="C215" s="6" t="s">
        <v>15</v>
      </c>
      <c r="D215" s="7" t="s">
        <v>44</v>
      </c>
      <c r="E215" s="6" t="s">
        <v>24</v>
      </c>
      <c r="F215" s="8" t="s">
        <v>25</v>
      </c>
      <c r="G215" s="8" t="str">
        <f t="shared" si="0"/>
        <v>Marketing</v>
      </c>
      <c r="H215" s="8" t="s">
        <v>33</v>
      </c>
      <c r="I215" s="9">
        <v>6041</v>
      </c>
      <c r="J215" s="10">
        <v>0.25</v>
      </c>
      <c r="K215" s="11">
        <f t="shared" si="1"/>
        <v>1510.25</v>
      </c>
      <c r="L215" s="6" t="s">
        <v>27</v>
      </c>
      <c r="M215" s="6" t="s">
        <v>25</v>
      </c>
      <c r="N215" s="6" t="s">
        <v>34</v>
      </c>
      <c r="O215" s="3"/>
      <c r="P215" s="4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6.5" customHeight="1" x14ac:dyDescent="0.3">
      <c r="A216" s="5">
        <v>45254</v>
      </c>
      <c r="B216" s="6" t="s">
        <v>76</v>
      </c>
      <c r="C216" s="6" t="s">
        <v>15</v>
      </c>
      <c r="D216" s="7" t="s">
        <v>44</v>
      </c>
      <c r="E216" s="6" t="s">
        <v>24</v>
      </c>
      <c r="F216" s="8" t="s">
        <v>18</v>
      </c>
      <c r="G216" s="8" t="str">
        <f t="shared" si="0"/>
        <v>Marketing</v>
      </c>
      <c r="H216" s="8" t="s">
        <v>33</v>
      </c>
      <c r="I216" s="9">
        <v>5552</v>
      </c>
      <c r="J216" s="10">
        <v>0.3</v>
      </c>
      <c r="K216" s="11">
        <f t="shared" si="1"/>
        <v>1665.6</v>
      </c>
      <c r="L216" s="6" t="s">
        <v>20</v>
      </c>
      <c r="M216" s="6" t="s">
        <v>46</v>
      </c>
      <c r="N216" s="6" t="s">
        <v>30</v>
      </c>
      <c r="O216" s="3"/>
      <c r="P216" s="4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6.5" customHeight="1" x14ac:dyDescent="0.3">
      <c r="A217" s="5">
        <v>45255</v>
      </c>
      <c r="B217" s="6" t="s">
        <v>76</v>
      </c>
      <c r="C217" s="6" t="s">
        <v>15</v>
      </c>
      <c r="D217" s="7" t="s">
        <v>50</v>
      </c>
      <c r="E217" s="6" t="s">
        <v>17</v>
      </c>
      <c r="F217" s="8" t="s">
        <v>25</v>
      </c>
      <c r="G217" s="8" t="str">
        <f t="shared" si="0"/>
        <v>Marketing</v>
      </c>
      <c r="H217" s="8" t="s">
        <v>42</v>
      </c>
      <c r="I217" s="9">
        <v>5794</v>
      </c>
      <c r="J217" s="10">
        <v>0.25</v>
      </c>
      <c r="K217" s="11">
        <f t="shared" si="1"/>
        <v>1448.5</v>
      </c>
      <c r="L217" s="6" t="s">
        <v>20</v>
      </c>
      <c r="M217" s="6" t="s">
        <v>25</v>
      </c>
      <c r="N217" s="6" t="s">
        <v>34</v>
      </c>
      <c r="O217" s="3"/>
      <c r="P217" s="4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6.5" customHeight="1" x14ac:dyDescent="0.3">
      <c r="A218" s="5">
        <v>45256</v>
      </c>
      <c r="B218" s="6" t="s">
        <v>76</v>
      </c>
      <c r="C218" s="6" t="s">
        <v>15</v>
      </c>
      <c r="D218" s="7" t="s">
        <v>38</v>
      </c>
      <c r="E218" s="6" t="s">
        <v>24</v>
      </c>
      <c r="F218" s="8" t="s">
        <v>18</v>
      </c>
      <c r="G218" s="8" t="str">
        <f t="shared" si="0"/>
        <v>Marketing</v>
      </c>
      <c r="H218" s="8" t="s">
        <v>26</v>
      </c>
      <c r="I218" s="9">
        <v>6214</v>
      </c>
      <c r="J218" s="10">
        <v>0.3</v>
      </c>
      <c r="K218" s="11">
        <f t="shared" si="1"/>
        <v>1864.1999999999998</v>
      </c>
      <c r="L218" s="6" t="s">
        <v>20</v>
      </c>
      <c r="M218" s="6" t="s">
        <v>46</v>
      </c>
      <c r="N218" s="6" t="s">
        <v>37</v>
      </c>
      <c r="O218" s="3"/>
      <c r="P218" s="4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6.5" customHeight="1" x14ac:dyDescent="0.3">
      <c r="A219" s="5">
        <v>45257</v>
      </c>
      <c r="B219" s="6" t="s">
        <v>76</v>
      </c>
      <c r="C219" s="6" t="s">
        <v>15</v>
      </c>
      <c r="D219" s="7" t="s">
        <v>36</v>
      </c>
      <c r="E219" s="6" t="s">
        <v>17</v>
      </c>
      <c r="F219" s="8" t="s">
        <v>25</v>
      </c>
      <c r="G219" s="8" t="str">
        <f t="shared" si="0"/>
        <v>Marketing</v>
      </c>
      <c r="H219" s="8" t="s">
        <v>33</v>
      </c>
      <c r="I219" s="9">
        <v>7505</v>
      </c>
      <c r="J219" s="10">
        <v>0.25</v>
      </c>
      <c r="K219" s="11">
        <f t="shared" si="1"/>
        <v>1876.25</v>
      </c>
      <c r="L219" s="6" t="s">
        <v>20</v>
      </c>
      <c r="M219" s="6" t="s">
        <v>46</v>
      </c>
      <c r="N219" s="6" t="s">
        <v>37</v>
      </c>
      <c r="O219" s="3"/>
      <c r="P219" s="4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6.5" customHeight="1" x14ac:dyDescent="0.3">
      <c r="A220" s="5">
        <v>45258</v>
      </c>
      <c r="B220" s="6" t="s">
        <v>76</v>
      </c>
      <c r="C220" s="6" t="s">
        <v>15</v>
      </c>
      <c r="D220" s="7" t="s">
        <v>64</v>
      </c>
      <c r="E220" s="6" t="s">
        <v>17</v>
      </c>
      <c r="F220" s="8" t="s">
        <v>41</v>
      </c>
      <c r="G220" s="8" t="str">
        <f t="shared" si="0"/>
        <v>Copywriting</v>
      </c>
      <c r="H220" s="8" t="s">
        <v>29</v>
      </c>
      <c r="I220" s="9">
        <v>7453</v>
      </c>
      <c r="J220" s="10">
        <v>0.25</v>
      </c>
      <c r="K220" s="11">
        <f t="shared" si="1"/>
        <v>1863.25</v>
      </c>
      <c r="L220" s="6" t="s">
        <v>27</v>
      </c>
      <c r="M220" s="6" t="s">
        <v>25</v>
      </c>
      <c r="N220" s="6" t="s">
        <v>30</v>
      </c>
      <c r="O220" s="3"/>
      <c r="P220" s="4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6.5" customHeight="1" x14ac:dyDescent="0.3">
      <c r="A221" s="5">
        <v>45260</v>
      </c>
      <c r="B221" s="6" t="s">
        <v>76</v>
      </c>
      <c r="C221" s="6" t="s">
        <v>15</v>
      </c>
      <c r="D221" s="7" t="s">
        <v>35</v>
      </c>
      <c r="E221" s="6" t="s">
        <v>24</v>
      </c>
      <c r="F221" s="8" t="s">
        <v>41</v>
      </c>
      <c r="G221" s="8" t="str">
        <f t="shared" si="0"/>
        <v>Copywriting</v>
      </c>
      <c r="H221" s="8" t="s">
        <v>42</v>
      </c>
      <c r="I221" s="9">
        <v>5939</v>
      </c>
      <c r="J221" s="10">
        <v>0.25</v>
      </c>
      <c r="K221" s="11">
        <f t="shared" si="1"/>
        <v>1484.75</v>
      </c>
      <c r="L221" s="6" t="s">
        <v>27</v>
      </c>
      <c r="M221" s="6" t="s">
        <v>25</v>
      </c>
      <c r="N221" s="6" t="s">
        <v>37</v>
      </c>
      <c r="O221" s="3"/>
      <c r="P221" s="4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6.5" customHeight="1" x14ac:dyDescent="0.3">
      <c r="A222" s="5">
        <v>45264</v>
      </c>
      <c r="B222" s="6" t="s">
        <v>77</v>
      </c>
      <c r="C222" s="6" t="s">
        <v>15</v>
      </c>
      <c r="D222" s="7" t="s">
        <v>52</v>
      </c>
      <c r="E222" s="6" t="s">
        <v>17</v>
      </c>
      <c r="F222" s="8" t="s">
        <v>25</v>
      </c>
      <c r="G222" s="8" t="str">
        <f t="shared" si="0"/>
        <v>Marketing</v>
      </c>
      <c r="H222" s="8" t="s">
        <v>29</v>
      </c>
      <c r="I222" s="9">
        <v>5833</v>
      </c>
      <c r="J222" s="10">
        <v>0.25</v>
      </c>
      <c r="K222" s="11">
        <f t="shared" si="1"/>
        <v>1458.25</v>
      </c>
      <c r="L222" s="6" t="s">
        <v>20</v>
      </c>
      <c r="M222" s="6" t="s">
        <v>21</v>
      </c>
      <c r="N222" s="6" t="s">
        <v>22</v>
      </c>
      <c r="O222" s="3"/>
      <c r="P222" s="4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6.5" customHeight="1" x14ac:dyDescent="0.3">
      <c r="A223" s="5">
        <v>45264</v>
      </c>
      <c r="B223" s="6" t="s">
        <v>77</v>
      </c>
      <c r="C223" s="6" t="s">
        <v>15</v>
      </c>
      <c r="D223" s="7" t="s">
        <v>38</v>
      </c>
      <c r="E223" s="6" t="s">
        <v>24</v>
      </c>
      <c r="F223" s="8" t="s">
        <v>39</v>
      </c>
      <c r="G223" s="8" t="str">
        <f t="shared" si="0"/>
        <v>Design</v>
      </c>
      <c r="H223" s="8" t="s">
        <v>42</v>
      </c>
      <c r="I223" s="9">
        <v>6702</v>
      </c>
      <c r="J223" s="10">
        <v>0.35</v>
      </c>
      <c r="K223" s="11">
        <f t="shared" si="1"/>
        <v>2345.6999999999998</v>
      </c>
      <c r="L223" s="6" t="s">
        <v>20</v>
      </c>
      <c r="M223" s="6" t="s">
        <v>21</v>
      </c>
      <c r="N223" s="6" t="s">
        <v>30</v>
      </c>
      <c r="O223" s="3"/>
      <c r="P223" s="4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6.5" customHeight="1" x14ac:dyDescent="0.3">
      <c r="A224" s="5">
        <v>45265</v>
      </c>
      <c r="B224" s="6" t="s">
        <v>77</v>
      </c>
      <c r="C224" s="6" t="s">
        <v>15</v>
      </c>
      <c r="D224" s="7" t="s">
        <v>47</v>
      </c>
      <c r="E224" s="6" t="s">
        <v>24</v>
      </c>
      <c r="F224" s="8" t="s">
        <v>25</v>
      </c>
      <c r="G224" s="8" t="str">
        <f t="shared" si="0"/>
        <v>Marketing</v>
      </c>
      <c r="H224" s="8" t="s">
        <v>26</v>
      </c>
      <c r="I224" s="9">
        <v>7465</v>
      </c>
      <c r="J224" s="10">
        <v>0.25</v>
      </c>
      <c r="K224" s="11">
        <f t="shared" si="1"/>
        <v>1866.25</v>
      </c>
      <c r="L224" s="6" t="s">
        <v>20</v>
      </c>
      <c r="M224" s="6" t="s">
        <v>21</v>
      </c>
      <c r="N224" s="6" t="s">
        <v>30</v>
      </c>
      <c r="O224" s="3"/>
      <c r="P224" s="4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6.5" customHeight="1" x14ac:dyDescent="0.3">
      <c r="A225" s="5">
        <v>45274</v>
      </c>
      <c r="B225" s="6" t="s">
        <v>77</v>
      </c>
      <c r="C225" s="6" t="s">
        <v>15</v>
      </c>
      <c r="D225" s="7" t="s">
        <v>59</v>
      </c>
      <c r="E225" s="6" t="s">
        <v>24</v>
      </c>
      <c r="F225" s="8" t="s">
        <v>32</v>
      </c>
      <c r="G225" s="8" t="str">
        <f t="shared" si="0"/>
        <v>Design</v>
      </c>
      <c r="H225" s="8" t="s">
        <v>42</v>
      </c>
      <c r="I225" s="9">
        <v>6348</v>
      </c>
      <c r="J225" s="10">
        <v>0.4</v>
      </c>
      <c r="K225" s="11">
        <f t="shared" si="1"/>
        <v>2539.2000000000003</v>
      </c>
      <c r="L225" s="6" t="s">
        <v>27</v>
      </c>
      <c r="M225" s="6" t="s">
        <v>25</v>
      </c>
      <c r="N225" s="6" t="s">
        <v>22</v>
      </c>
      <c r="O225" s="3"/>
      <c r="P225" s="4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6.5" customHeight="1" x14ac:dyDescent="0.3">
      <c r="A226" s="5">
        <v>45274</v>
      </c>
      <c r="B226" s="6" t="s">
        <v>77</v>
      </c>
      <c r="C226" s="6" t="s">
        <v>15</v>
      </c>
      <c r="D226" s="7" t="s">
        <v>66</v>
      </c>
      <c r="E226" s="6" t="s">
        <v>24</v>
      </c>
      <c r="F226" s="8" t="s">
        <v>41</v>
      </c>
      <c r="G226" s="8" t="str">
        <f t="shared" si="0"/>
        <v>Copywriting</v>
      </c>
      <c r="H226" s="8" t="s">
        <v>33</v>
      </c>
      <c r="I226" s="9">
        <v>6799</v>
      </c>
      <c r="J226" s="10">
        <v>0.25</v>
      </c>
      <c r="K226" s="11">
        <f t="shared" si="1"/>
        <v>1699.75</v>
      </c>
      <c r="L226" s="6" t="s">
        <v>20</v>
      </c>
      <c r="M226" s="6" t="s">
        <v>21</v>
      </c>
      <c r="N226" s="6" t="s">
        <v>34</v>
      </c>
      <c r="O226" s="3"/>
      <c r="P226" s="4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6.5" customHeight="1" x14ac:dyDescent="0.3">
      <c r="A227" s="5">
        <v>45274</v>
      </c>
      <c r="B227" s="6" t="s">
        <v>77</v>
      </c>
      <c r="C227" s="6" t="s">
        <v>15</v>
      </c>
      <c r="D227" s="7" t="s">
        <v>28</v>
      </c>
      <c r="E227" s="6" t="s">
        <v>24</v>
      </c>
      <c r="F227" s="8" t="s">
        <v>25</v>
      </c>
      <c r="G227" s="8" t="str">
        <f t="shared" si="0"/>
        <v>Marketing</v>
      </c>
      <c r="H227" s="8" t="s">
        <v>33</v>
      </c>
      <c r="I227" s="9">
        <v>7574</v>
      </c>
      <c r="J227" s="10">
        <v>0.25</v>
      </c>
      <c r="K227" s="11">
        <f t="shared" si="1"/>
        <v>1893.5</v>
      </c>
      <c r="L227" s="6" t="s">
        <v>27</v>
      </c>
      <c r="M227" s="6" t="s">
        <v>25</v>
      </c>
      <c r="N227" s="6" t="s">
        <v>37</v>
      </c>
      <c r="O227" s="3"/>
      <c r="P227" s="4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6.5" customHeight="1" x14ac:dyDescent="0.3">
      <c r="A228" s="5">
        <v>45275</v>
      </c>
      <c r="B228" s="6" t="s">
        <v>77</v>
      </c>
      <c r="C228" s="6" t="s">
        <v>15</v>
      </c>
      <c r="D228" s="7" t="s">
        <v>60</v>
      </c>
      <c r="E228" s="6" t="s">
        <v>24</v>
      </c>
      <c r="F228" s="8" t="s">
        <v>39</v>
      </c>
      <c r="G228" s="8" t="str">
        <f t="shared" si="0"/>
        <v>Design</v>
      </c>
      <c r="H228" s="8" t="s">
        <v>19</v>
      </c>
      <c r="I228" s="9">
        <v>6208</v>
      </c>
      <c r="J228" s="10">
        <v>0.35</v>
      </c>
      <c r="K228" s="11">
        <f t="shared" si="1"/>
        <v>2172.7999999999997</v>
      </c>
      <c r="L228" s="6" t="s">
        <v>20</v>
      </c>
      <c r="M228" s="6" t="s">
        <v>21</v>
      </c>
      <c r="N228" s="6" t="s">
        <v>22</v>
      </c>
      <c r="O228" s="3"/>
      <c r="P228" s="4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6.5" customHeight="1" x14ac:dyDescent="0.3">
      <c r="A229" s="5">
        <v>45276</v>
      </c>
      <c r="B229" s="6" t="s">
        <v>77</v>
      </c>
      <c r="C229" s="6" t="s">
        <v>15</v>
      </c>
      <c r="D229" s="7" t="s">
        <v>54</v>
      </c>
      <c r="E229" s="6" t="s">
        <v>17</v>
      </c>
      <c r="F229" s="8" t="s">
        <v>25</v>
      </c>
      <c r="G229" s="8" t="str">
        <f t="shared" si="0"/>
        <v>Marketing</v>
      </c>
      <c r="H229" s="8" t="s">
        <v>33</v>
      </c>
      <c r="I229" s="9">
        <v>7689</v>
      </c>
      <c r="J229" s="10">
        <v>0.25</v>
      </c>
      <c r="K229" s="11">
        <f t="shared" si="1"/>
        <v>1922.25</v>
      </c>
      <c r="L229" s="6" t="s">
        <v>20</v>
      </c>
      <c r="M229" s="6" t="s">
        <v>25</v>
      </c>
      <c r="N229" s="6" t="s">
        <v>37</v>
      </c>
      <c r="O229" s="3"/>
      <c r="P229" s="4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6.5" customHeight="1" x14ac:dyDescent="0.3">
      <c r="A230" s="5">
        <v>45277</v>
      </c>
      <c r="B230" s="6" t="s">
        <v>77</v>
      </c>
      <c r="C230" s="6" t="s">
        <v>15</v>
      </c>
      <c r="D230" s="7" t="s">
        <v>48</v>
      </c>
      <c r="E230" s="6" t="s">
        <v>17</v>
      </c>
      <c r="F230" s="8" t="s">
        <v>32</v>
      </c>
      <c r="G230" s="8" t="str">
        <f t="shared" si="0"/>
        <v>Design</v>
      </c>
      <c r="H230" s="8" t="s">
        <v>29</v>
      </c>
      <c r="I230" s="9">
        <v>6062</v>
      </c>
      <c r="J230" s="10">
        <v>0.4</v>
      </c>
      <c r="K230" s="11">
        <f t="shared" si="1"/>
        <v>2424.8000000000002</v>
      </c>
      <c r="L230" s="6" t="s">
        <v>27</v>
      </c>
      <c r="M230" s="6" t="s">
        <v>21</v>
      </c>
      <c r="N230" s="6" t="s">
        <v>22</v>
      </c>
      <c r="O230" s="3"/>
      <c r="P230" s="4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6.5" customHeight="1" x14ac:dyDescent="0.3">
      <c r="A231" s="5">
        <v>45278</v>
      </c>
      <c r="B231" s="6" t="s">
        <v>77</v>
      </c>
      <c r="C231" s="6" t="s">
        <v>15</v>
      </c>
      <c r="D231" s="7" t="s">
        <v>16</v>
      </c>
      <c r="E231" s="6" t="s">
        <v>17</v>
      </c>
      <c r="F231" s="8" t="s">
        <v>25</v>
      </c>
      <c r="G231" s="8" t="str">
        <f t="shared" si="0"/>
        <v>Marketing</v>
      </c>
      <c r="H231" s="8" t="s">
        <v>29</v>
      </c>
      <c r="I231" s="9">
        <v>6387</v>
      </c>
      <c r="J231" s="10">
        <v>0.25</v>
      </c>
      <c r="K231" s="11">
        <f t="shared" si="1"/>
        <v>1596.75</v>
      </c>
      <c r="L231" s="6" t="s">
        <v>27</v>
      </c>
      <c r="M231" s="6" t="s">
        <v>46</v>
      </c>
      <c r="N231" s="6" t="s">
        <v>37</v>
      </c>
      <c r="O231" s="3"/>
      <c r="P231" s="4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6.5" customHeight="1" x14ac:dyDescent="0.3">
      <c r="A232" s="5">
        <v>45279</v>
      </c>
      <c r="B232" s="6" t="s">
        <v>77</v>
      </c>
      <c r="C232" s="6" t="s">
        <v>15</v>
      </c>
      <c r="D232" s="7" t="s">
        <v>48</v>
      </c>
      <c r="E232" s="6" t="s">
        <v>17</v>
      </c>
      <c r="F232" s="8" t="s">
        <v>41</v>
      </c>
      <c r="G232" s="8" t="str">
        <f t="shared" si="0"/>
        <v>Copywriting</v>
      </c>
      <c r="H232" s="8" t="s">
        <v>42</v>
      </c>
      <c r="I232" s="9">
        <v>5222</v>
      </c>
      <c r="J232" s="10">
        <v>0.25</v>
      </c>
      <c r="K232" s="11">
        <f t="shared" si="1"/>
        <v>1305.5</v>
      </c>
      <c r="L232" s="6" t="s">
        <v>27</v>
      </c>
      <c r="M232" s="6" t="s">
        <v>21</v>
      </c>
      <c r="N232" s="6" t="s">
        <v>34</v>
      </c>
      <c r="O232" s="3"/>
      <c r="P232" s="4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6.5" customHeight="1" x14ac:dyDescent="0.3">
      <c r="A233" s="5">
        <v>45279</v>
      </c>
      <c r="B233" s="6" t="s">
        <v>77</v>
      </c>
      <c r="C233" s="6" t="s">
        <v>15</v>
      </c>
      <c r="D233" s="7" t="s">
        <v>16</v>
      </c>
      <c r="E233" s="6" t="s">
        <v>17</v>
      </c>
      <c r="F233" s="8" t="s">
        <v>41</v>
      </c>
      <c r="G233" s="8" t="str">
        <f t="shared" si="0"/>
        <v>Copywriting</v>
      </c>
      <c r="H233" s="8" t="s">
        <v>42</v>
      </c>
      <c r="I233" s="9">
        <v>5570</v>
      </c>
      <c r="J233" s="10">
        <v>0.25</v>
      </c>
      <c r="K233" s="11">
        <f t="shared" si="1"/>
        <v>1392.5</v>
      </c>
      <c r="L233" s="6" t="s">
        <v>20</v>
      </c>
      <c r="M233" s="6" t="s">
        <v>25</v>
      </c>
      <c r="N233" s="6" t="s">
        <v>30</v>
      </c>
      <c r="O233" s="3"/>
      <c r="P233" s="4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6.5" customHeight="1" x14ac:dyDescent="0.3">
      <c r="A234" s="5">
        <v>45279</v>
      </c>
      <c r="B234" s="6" t="s">
        <v>77</v>
      </c>
      <c r="C234" s="6" t="s">
        <v>15</v>
      </c>
      <c r="D234" s="7" t="s">
        <v>51</v>
      </c>
      <c r="E234" s="6" t="s">
        <v>24</v>
      </c>
      <c r="F234" s="8" t="s">
        <v>32</v>
      </c>
      <c r="G234" s="8" t="str">
        <f t="shared" si="0"/>
        <v>Design</v>
      </c>
      <c r="H234" s="8" t="s">
        <v>33</v>
      </c>
      <c r="I234" s="9">
        <v>7799</v>
      </c>
      <c r="J234" s="10">
        <v>0.4</v>
      </c>
      <c r="K234" s="11">
        <f t="shared" si="1"/>
        <v>3119.6000000000004</v>
      </c>
      <c r="L234" s="6" t="s">
        <v>27</v>
      </c>
      <c r="M234" s="6" t="s">
        <v>25</v>
      </c>
      <c r="N234" s="6" t="s">
        <v>37</v>
      </c>
      <c r="O234" s="3"/>
      <c r="P234" s="4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6.5" customHeight="1" x14ac:dyDescent="0.3">
      <c r="A235" s="5">
        <v>45280</v>
      </c>
      <c r="B235" s="6" t="s">
        <v>77</v>
      </c>
      <c r="C235" s="6" t="s">
        <v>15</v>
      </c>
      <c r="D235" s="7" t="s">
        <v>45</v>
      </c>
      <c r="E235" s="6" t="s">
        <v>17</v>
      </c>
      <c r="F235" s="8" t="s">
        <v>18</v>
      </c>
      <c r="G235" s="8" t="str">
        <f t="shared" si="0"/>
        <v>Marketing</v>
      </c>
      <c r="H235" s="8" t="s">
        <v>19</v>
      </c>
      <c r="I235" s="9">
        <v>7853</v>
      </c>
      <c r="J235" s="10">
        <v>0.3</v>
      </c>
      <c r="K235" s="11">
        <f t="shared" si="1"/>
        <v>2355.9</v>
      </c>
      <c r="L235" s="6" t="s">
        <v>20</v>
      </c>
      <c r="M235" s="6" t="s">
        <v>46</v>
      </c>
      <c r="N235" s="6" t="s">
        <v>22</v>
      </c>
      <c r="O235" s="3"/>
      <c r="P235" s="4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6.5" customHeight="1" x14ac:dyDescent="0.3">
      <c r="A236" s="5">
        <v>45280</v>
      </c>
      <c r="B236" s="6" t="s">
        <v>77</v>
      </c>
      <c r="C236" s="6" t="s">
        <v>15</v>
      </c>
      <c r="D236" s="7" t="s">
        <v>60</v>
      </c>
      <c r="E236" s="6" t="s">
        <v>24</v>
      </c>
      <c r="F236" s="8" t="s">
        <v>39</v>
      </c>
      <c r="G236" s="8" t="str">
        <f t="shared" si="0"/>
        <v>Design</v>
      </c>
      <c r="H236" s="8" t="s">
        <v>29</v>
      </c>
      <c r="I236" s="9">
        <v>6776</v>
      </c>
      <c r="J236" s="10">
        <v>0.35</v>
      </c>
      <c r="K236" s="11">
        <f t="shared" si="1"/>
        <v>2371.6</v>
      </c>
      <c r="L236" s="6" t="s">
        <v>27</v>
      </c>
      <c r="M236" s="6" t="s">
        <v>21</v>
      </c>
      <c r="N236" s="6" t="s">
        <v>34</v>
      </c>
      <c r="O236" s="3"/>
      <c r="P236" s="4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6.5" customHeight="1" x14ac:dyDescent="0.3">
      <c r="A237" s="5">
        <v>45282</v>
      </c>
      <c r="B237" s="6" t="s">
        <v>77</v>
      </c>
      <c r="C237" s="6" t="s">
        <v>15</v>
      </c>
      <c r="D237" s="7" t="s">
        <v>23</v>
      </c>
      <c r="E237" s="6" t="s">
        <v>24</v>
      </c>
      <c r="F237" s="8" t="s">
        <v>41</v>
      </c>
      <c r="G237" s="8" t="str">
        <f t="shared" si="0"/>
        <v>Copywriting</v>
      </c>
      <c r="H237" s="8" t="s">
        <v>29</v>
      </c>
      <c r="I237" s="9">
        <v>7306</v>
      </c>
      <c r="J237" s="10">
        <v>0.25</v>
      </c>
      <c r="K237" s="11">
        <f t="shared" si="1"/>
        <v>1826.5</v>
      </c>
      <c r="L237" s="6" t="s">
        <v>20</v>
      </c>
      <c r="M237" s="6" t="s">
        <v>21</v>
      </c>
      <c r="N237" s="6" t="s">
        <v>37</v>
      </c>
      <c r="O237" s="3"/>
      <c r="P237" s="4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6.5" customHeight="1" x14ac:dyDescent="0.3">
      <c r="A238" s="5">
        <v>45282</v>
      </c>
      <c r="B238" s="6" t="s">
        <v>77</v>
      </c>
      <c r="C238" s="6" t="s">
        <v>15</v>
      </c>
      <c r="D238" s="7" t="s">
        <v>66</v>
      </c>
      <c r="E238" s="6" t="s">
        <v>24</v>
      </c>
      <c r="F238" s="8" t="s">
        <v>18</v>
      </c>
      <c r="G238" s="8" t="str">
        <f t="shared" si="0"/>
        <v>Marketing</v>
      </c>
      <c r="H238" s="8" t="s">
        <v>26</v>
      </c>
      <c r="I238" s="9">
        <v>5882</v>
      </c>
      <c r="J238" s="10">
        <v>0.3</v>
      </c>
      <c r="K238" s="11">
        <f t="shared" si="1"/>
        <v>1764.6</v>
      </c>
      <c r="L238" s="6" t="s">
        <v>27</v>
      </c>
      <c r="M238" s="6" t="s">
        <v>21</v>
      </c>
      <c r="N238" s="6" t="s">
        <v>37</v>
      </c>
      <c r="O238" s="3"/>
      <c r="P238" s="4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6.5" customHeight="1" x14ac:dyDescent="0.3">
      <c r="A239" s="5">
        <v>45283</v>
      </c>
      <c r="B239" s="6" t="s">
        <v>77</v>
      </c>
      <c r="C239" s="6" t="s">
        <v>15</v>
      </c>
      <c r="D239" s="7" t="s">
        <v>54</v>
      </c>
      <c r="E239" s="6" t="s">
        <v>17</v>
      </c>
      <c r="F239" s="8" t="s">
        <v>39</v>
      </c>
      <c r="G239" s="8" t="str">
        <f t="shared" si="0"/>
        <v>Design</v>
      </c>
      <c r="H239" s="8" t="s">
        <v>29</v>
      </c>
      <c r="I239" s="9">
        <v>6336</v>
      </c>
      <c r="J239" s="10">
        <v>0.35</v>
      </c>
      <c r="K239" s="11">
        <f t="shared" si="1"/>
        <v>2217.6</v>
      </c>
      <c r="L239" s="6" t="s">
        <v>27</v>
      </c>
      <c r="M239" s="6" t="s">
        <v>25</v>
      </c>
      <c r="N239" s="6" t="s">
        <v>30</v>
      </c>
      <c r="O239" s="3"/>
      <c r="P239" s="4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6.5" customHeight="1" x14ac:dyDescent="0.3">
      <c r="A240" s="5">
        <v>45283</v>
      </c>
      <c r="B240" s="6" t="s">
        <v>77</v>
      </c>
      <c r="C240" s="6" t="s">
        <v>15</v>
      </c>
      <c r="D240" s="7" t="s">
        <v>54</v>
      </c>
      <c r="E240" s="6" t="s">
        <v>17</v>
      </c>
      <c r="F240" s="8" t="s">
        <v>39</v>
      </c>
      <c r="G240" s="8" t="str">
        <f t="shared" si="0"/>
        <v>Design</v>
      </c>
      <c r="H240" s="8" t="s">
        <v>19</v>
      </c>
      <c r="I240" s="9">
        <v>7642</v>
      </c>
      <c r="J240" s="10">
        <v>0.35</v>
      </c>
      <c r="K240" s="11">
        <f t="shared" si="1"/>
        <v>2674.7</v>
      </c>
      <c r="L240" s="6" t="s">
        <v>27</v>
      </c>
      <c r="M240" s="6" t="s">
        <v>46</v>
      </c>
      <c r="N240" s="6" t="s">
        <v>34</v>
      </c>
      <c r="O240" s="3"/>
      <c r="P240" s="4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6.5" customHeight="1" x14ac:dyDescent="0.3">
      <c r="A241" s="5">
        <v>45287</v>
      </c>
      <c r="B241" s="6" t="s">
        <v>77</v>
      </c>
      <c r="C241" s="6" t="s">
        <v>15</v>
      </c>
      <c r="D241" s="7" t="s">
        <v>49</v>
      </c>
      <c r="E241" s="6" t="s">
        <v>17</v>
      </c>
      <c r="F241" s="8" t="s">
        <v>25</v>
      </c>
      <c r="G241" s="8" t="str">
        <f t="shared" si="0"/>
        <v>Marketing</v>
      </c>
      <c r="H241" s="8" t="s">
        <v>29</v>
      </c>
      <c r="I241" s="9">
        <v>5260</v>
      </c>
      <c r="J241" s="10">
        <v>0.25</v>
      </c>
      <c r="K241" s="11">
        <f t="shared" si="1"/>
        <v>1315</v>
      </c>
      <c r="L241" s="6" t="s">
        <v>20</v>
      </c>
      <c r="M241" s="6" t="s">
        <v>25</v>
      </c>
      <c r="N241" s="6" t="s">
        <v>30</v>
      </c>
      <c r="O241" s="3"/>
      <c r="P241" s="4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6.5" customHeight="1" x14ac:dyDescent="0.3">
      <c r="A242" s="5">
        <v>45294</v>
      </c>
      <c r="B242" s="6" t="s">
        <v>14</v>
      </c>
      <c r="C242" s="6" t="s">
        <v>78</v>
      </c>
      <c r="D242" s="7" t="s">
        <v>63</v>
      </c>
      <c r="E242" s="6" t="s">
        <v>17</v>
      </c>
      <c r="F242" s="8" t="s">
        <v>39</v>
      </c>
      <c r="G242" s="8" t="str">
        <f t="shared" si="0"/>
        <v>Design</v>
      </c>
      <c r="H242" s="8" t="s">
        <v>33</v>
      </c>
      <c r="I242" s="9">
        <v>5603</v>
      </c>
      <c r="J242" s="10">
        <v>0.35</v>
      </c>
      <c r="K242" s="11">
        <f t="shared" si="1"/>
        <v>1961.05</v>
      </c>
      <c r="L242" s="6" t="s">
        <v>27</v>
      </c>
      <c r="M242" s="6" t="s">
        <v>21</v>
      </c>
      <c r="N242" s="6" t="s">
        <v>34</v>
      </c>
      <c r="O242" s="3"/>
      <c r="P242" s="4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6.5" customHeight="1" x14ac:dyDescent="0.3">
      <c r="A243" s="5">
        <v>45299</v>
      </c>
      <c r="B243" s="6" t="s">
        <v>14</v>
      </c>
      <c r="C243" s="6" t="s">
        <v>78</v>
      </c>
      <c r="D243" s="7" t="s">
        <v>55</v>
      </c>
      <c r="E243" s="6" t="s">
        <v>24</v>
      </c>
      <c r="F243" s="8" t="s">
        <v>41</v>
      </c>
      <c r="G243" s="8" t="str">
        <f t="shared" si="0"/>
        <v>Copywriting</v>
      </c>
      <c r="H243" s="8" t="s">
        <v>26</v>
      </c>
      <c r="I243" s="9">
        <v>4422</v>
      </c>
      <c r="J243" s="10">
        <v>0.25</v>
      </c>
      <c r="K243" s="11">
        <f t="shared" si="1"/>
        <v>1105.5</v>
      </c>
      <c r="L243" s="6" t="s">
        <v>20</v>
      </c>
      <c r="M243" s="6" t="s">
        <v>21</v>
      </c>
      <c r="N243" s="6" t="s">
        <v>30</v>
      </c>
      <c r="O243" s="3"/>
      <c r="P243" s="4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6.5" customHeight="1" x14ac:dyDescent="0.3">
      <c r="A244" s="5">
        <v>45299</v>
      </c>
      <c r="B244" s="6" t="s">
        <v>14</v>
      </c>
      <c r="C244" s="6" t="s">
        <v>78</v>
      </c>
      <c r="D244" s="7" t="s">
        <v>44</v>
      </c>
      <c r="E244" s="6" t="s">
        <v>24</v>
      </c>
      <c r="F244" s="8" t="s">
        <v>41</v>
      </c>
      <c r="G244" s="8" t="str">
        <f t="shared" si="0"/>
        <v>Copywriting</v>
      </c>
      <c r="H244" s="8" t="s">
        <v>29</v>
      </c>
      <c r="I244" s="9">
        <v>5895</v>
      </c>
      <c r="J244" s="10">
        <v>0.25</v>
      </c>
      <c r="K244" s="11">
        <f t="shared" si="1"/>
        <v>1473.75</v>
      </c>
      <c r="L244" s="6" t="s">
        <v>27</v>
      </c>
      <c r="M244" s="6" t="s">
        <v>21</v>
      </c>
      <c r="N244" s="6" t="s">
        <v>30</v>
      </c>
      <c r="O244" s="3"/>
      <c r="P244" s="4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6.5" customHeight="1" x14ac:dyDescent="0.3">
      <c r="A245" s="5">
        <v>45301</v>
      </c>
      <c r="B245" s="6" t="s">
        <v>14</v>
      </c>
      <c r="C245" s="6" t="s">
        <v>78</v>
      </c>
      <c r="D245" s="7" t="s">
        <v>63</v>
      </c>
      <c r="E245" s="6" t="s">
        <v>17</v>
      </c>
      <c r="F245" s="8" t="s">
        <v>41</v>
      </c>
      <c r="G245" s="8" t="str">
        <f t="shared" si="0"/>
        <v>Copywriting</v>
      </c>
      <c r="H245" s="8" t="s">
        <v>19</v>
      </c>
      <c r="I245" s="9">
        <v>4287</v>
      </c>
      <c r="J245" s="10">
        <v>0.25</v>
      </c>
      <c r="K245" s="11">
        <f t="shared" si="1"/>
        <v>1071.75</v>
      </c>
      <c r="L245" s="6" t="s">
        <v>27</v>
      </c>
      <c r="M245" s="6" t="s">
        <v>25</v>
      </c>
      <c r="N245" s="6" t="s">
        <v>30</v>
      </c>
      <c r="O245" s="3"/>
      <c r="P245" s="4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6.5" customHeight="1" x14ac:dyDescent="0.3">
      <c r="A246" s="5">
        <v>45301</v>
      </c>
      <c r="B246" s="6" t="s">
        <v>14</v>
      </c>
      <c r="C246" s="6" t="s">
        <v>78</v>
      </c>
      <c r="D246" s="7" t="s">
        <v>73</v>
      </c>
      <c r="E246" s="6" t="s">
        <v>24</v>
      </c>
      <c r="F246" s="8" t="s">
        <v>32</v>
      </c>
      <c r="G246" s="8" t="str">
        <f t="shared" si="0"/>
        <v>Design</v>
      </c>
      <c r="H246" s="8" t="s">
        <v>42</v>
      </c>
      <c r="I246" s="9">
        <v>4092</v>
      </c>
      <c r="J246" s="10">
        <v>0.4</v>
      </c>
      <c r="K246" s="11">
        <f t="shared" si="1"/>
        <v>1636.8000000000002</v>
      </c>
      <c r="L246" s="6" t="s">
        <v>20</v>
      </c>
      <c r="M246" s="6" t="s">
        <v>46</v>
      </c>
      <c r="N246" s="6" t="s">
        <v>30</v>
      </c>
      <c r="O246" s="3"/>
      <c r="P246" s="4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6.5" customHeight="1" x14ac:dyDescent="0.3">
      <c r="A247" s="5">
        <v>45302</v>
      </c>
      <c r="B247" s="6" t="s">
        <v>14</v>
      </c>
      <c r="C247" s="6" t="s">
        <v>78</v>
      </c>
      <c r="D247" s="7" t="s">
        <v>48</v>
      </c>
      <c r="E247" s="6" t="s">
        <v>17</v>
      </c>
      <c r="F247" s="8" t="s">
        <v>25</v>
      </c>
      <c r="G247" s="8" t="str">
        <f t="shared" si="0"/>
        <v>Marketing</v>
      </c>
      <c r="H247" s="8" t="s">
        <v>29</v>
      </c>
      <c r="I247" s="9">
        <v>4004</v>
      </c>
      <c r="J247" s="10">
        <v>0.25</v>
      </c>
      <c r="K247" s="11">
        <f t="shared" si="1"/>
        <v>1001</v>
      </c>
      <c r="L247" s="6" t="s">
        <v>20</v>
      </c>
      <c r="M247" s="6" t="s">
        <v>25</v>
      </c>
      <c r="N247" s="6" t="s">
        <v>37</v>
      </c>
      <c r="O247" s="3"/>
      <c r="P247" s="4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6.5" customHeight="1" x14ac:dyDescent="0.3">
      <c r="A248" s="5">
        <v>45302</v>
      </c>
      <c r="B248" s="6" t="s">
        <v>14</v>
      </c>
      <c r="C248" s="6" t="s">
        <v>78</v>
      </c>
      <c r="D248" s="7" t="s">
        <v>50</v>
      </c>
      <c r="E248" s="6" t="s">
        <v>17</v>
      </c>
      <c r="F248" s="8" t="s">
        <v>18</v>
      </c>
      <c r="G248" s="8" t="str">
        <f t="shared" si="0"/>
        <v>Marketing</v>
      </c>
      <c r="H248" s="8" t="s">
        <v>29</v>
      </c>
      <c r="I248" s="9">
        <v>5209</v>
      </c>
      <c r="J248" s="10">
        <v>0.3</v>
      </c>
      <c r="K248" s="11">
        <f t="shared" si="1"/>
        <v>1562.7</v>
      </c>
      <c r="L248" s="6" t="s">
        <v>27</v>
      </c>
      <c r="M248" s="6" t="s">
        <v>46</v>
      </c>
      <c r="N248" s="6" t="s">
        <v>37</v>
      </c>
      <c r="O248" s="3"/>
      <c r="P248" s="4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6.5" customHeight="1" x14ac:dyDescent="0.3">
      <c r="A249" s="5">
        <v>45303</v>
      </c>
      <c r="B249" s="6" t="s">
        <v>14</v>
      </c>
      <c r="C249" s="6" t="s">
        <v>78</v>
      </c>
      <c r="D249" s="7" t="s">
        <v>54</v>
      </c>
      <c r="E249" s="6" t="s">
        <v>17</v>
      </c>
      <c r="F249" s="8" t="s">
        <v>41</v>
      </c>
      <c r="G249" s="8" t="str">
        <f t="shared" si="0"/>
        <v>Copywriting</v>
      </c>
      <c r="H249" s="8" t="s">
        <v>33</v>
      </c>
      <c r="I249" s="9">
        <v>6903</v>
      </c>
      <c r="J249" s="10">
        <v>0.25</v>
      </c>
      <c r="K249" s="11">
        <f t="shared" si="1"/>
        <v>1725.75</v>
      </c>
      <c r="L249" s="6" t="s">
        <v>27</v>
      </c>
      <c r="M249" s="6" t="s">
        <v>46</v>
      </c>
      <c r="N249" s="6" t="s">
        <v>30</v>
      </c>
      <c r="O249" s="3"/>
      <c r="P249" s="4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6.5" customHeight="1" x14ac:dyDescent="0.3">
      <c r="A250" s="5">
        <v>45306</v>
      </c>
      <c r="B250" s="6" t="s">
        <v>14</v>
      </c>
      <c r="C250" s="6" t="s">
        <v>78</v>
      </c>
      <c r="D250" s="7" t="s">
        <v>50</v>
      </c>
      <c r="E250" s="6" t="s">
        <v>17</v>
      </c>
      <c r="F250" s="8" t="s">
        <v>32</v>
      </c>
      <c r="G250" s="8" t="str">
        <f t="shared" si="0"/>
        <v>Design</v>
      </c>
      <c r="H250" s="8" t="s">
        <v>26</v>
      </c>
      <c r="I250" s="9">
        <v>6945</v>
      </c>
      <c r="J250" s="10">
        <v>0.4</v>
      </c>
      <c r="K250" s="11">
        <f t="shared" si="1"/>
        <v>2778</v>
      </c>
      <c r="L250" s="6" t="s">
        <v>20</v>
      </c>
      <c r="M250" s="6" t="s">
        <v>21</v>
      </c>
      <c r="N250" s="6" t="s">
        <v>22</v>
      </c>
      <c r="O250" s="3"/>
      <c r="P250" s="4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6.5" customHeight="1" x14ac:dyDescent="0.3">
      <c r="A251" s="5">
        <v>45306</v>
      </c>
      <c r="B251" s="6" t="s">
        <v>14</v>
      </c>
      <c r="C251" s="6" t="s">
        <v>78</v>
      </c>
      <c r="D251" s="7" t="s">
        <v>49</v>
      </c>
      <c r="E251" s="6" t="s">
        <v>17</v>
      </c>
      <c r="F251" s="8" t="s">
        <v>25</v>
      </c>
      <c r="G251" s="8" t="str">
        <f t="shared" si="0"/>
        <v>Marketing</v>
      </c>
      <c r="H251" s="8" t="s">
        <v>29</v>
      </c>
      <c r="I251" s="9">
        <v>6330</v>
      </c>
      <c r="J251" s="10">
        <v>0.25</v>
      </c>
      <c r="K251" s="11">
        <f t="shared" si="1"/>
        <v>1582.5</v>
      </c>
      <c r="L251" s="6" t="s">
        <v>20</v>
      </c>
      <c r="M251" s="6" t="s">
        <v>21</v>
      </c>
      <c r="N251" s="6" t="s">
        <v>37</v>
      </c>
      <c r="O251" s="3"/>
      <c r="P251" s="4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6.5" customHeight="1" x14ac:dyDescent="0.3">
      <c r="A252" s="5">
        <v>45306</v>
      </c>
      <c r="B252" s="6" t="s">
        <v>14</v>
      </c>
      <c r="C252" s="6" t="s">
        <v>78</v>
      </c>
      <c r="D252" s="7" t="s">
        <v>28</v>
      </c>
      <c r="E252" s="6" t="s">
        <v>24</v>
      </c>
      <c r="F252" s="8" t="s">
        <v>39</v>
      </c>
      <c r="G252" s="8" t="str">
        <f t="shared" si="0"/>
        <v>Design</v>
      </c>
      <c r="H252" s="8" t="s">
        <v>19</v>
      </c>
      <c r="I252" s="9">
        <v>3203</v>
      </c>
      <c r="J252" s="10">
        <v>0.35</v>
      </c>
      <c r="K252" s="11">
        <f t="shared" si="1"/>
        <v>1121.05</v>
      </c>
      <c r="L252" s="6" t="s">
        <v>20</v>
      </c>
      <c r="M252" s="6" t="s">
        <v>21</v>
      </c>
      <c r="N252" s="6" t="s">
        <v>37</v>
      </c>
      <c r="O252" s="3"/>
      <c r="P252" s="4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6.5" customHeight="1" x14ac:dyDescent="0.3">
      <c r="A253" s="5">
        <v>45307</v>
      </c>
      <c r="B253" s="6" t="s">
        <v>14</v>
      </c>
      <c r="C253" s="6" t="s">
        <v>78</v>
      </c>
      <c r="D253" s="7" t="s">
        <v>43</v>
      </c>
      <c r="E253" s="6" t="s">
        <v>24</v>
      </c>
      <c r="F253" s="8" t="s">
        <v>25</v>
      </c>
      <c r="G253" s="8" t="str">
        <f t="shared" si="0"/>
        <v>Marketing</v>
      </c>
      <c r="H253" s="8" t="s">
        <v>29</v>
      </c>
      <c r="I253" s="9">
        <v>6850</v>
      </c>
      <c r="J253" s="10">
        <v>0.25</v>
      </c>
      <c r="K253" s="11">
        <f t="shared" si="1"/>
        <v>1712.5</v>
      </c>
      <c r="L253" s="6" t="s">
        <v>20</v>
      </c>
      <c r="M253" s="6" t="s">
        <v>21</v>
      </c>
      <c r="N253" s="6" t="s">
        <v>30</v>
      </c>
      <c r="O253" s="3"/>
      <c r="P253" s="4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6.5" customHeight="1" x14ac:dyDescent="0.3">
      <c r="A254" s="5">
        <v>45310</v>
      </c>
      <c r="B254" s="6" t="s">
        <v>14</v>
      </c>
      <c r="C254" s="6" t="s">
        <v>78</v>
      </c>
      <c r="D254" s="7" t="s">
        <v>52</v>
      </c>
      <c r="E254" s="6" t="s">
        <v>17</v>
      </c>
      <c r="F254" s="8" t="s">
        <v>25</v>
      </c>
      <c r="G254" s="8" t="str">
        <f t="shared" si="0"/>
        <v>Marketing</v>
      </c>
      <c r="H254" s="8" t="s">
        <v>19</v>
      </c>
      <c r="I254" s="9">
        <v>5799</v>
      </c>
      <c r="J254" s="10">
        <v>0.25</v>
      </c>
      <c r="K254" s="11">
        <f t="shared" si="1"/>
        <v>1449.75</v>
      </c>
      <c r="L254" s="6" t="s">
        <v>27</v>
      </c>
      <c r="M254" s="6" t="s">
        <v>25</v>
      </c>
      <c r="N254" s="6" t="s">
        <v>30</v>
      </c>
      <c r="O254" s="3"/>
      <c r="P254" s="4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6.5" customHeight="1" x14ac:dyDescent="0.3">
      <c r="A255" s="5">
        <v>45316</v>
      </c>
      <c r="B255" s="6" t="s">
        <v>14</v>
      </c>
      <c r="C255" s="6" t="s">
        <v>78</v>
      </c>
      <c r="D255" s="7" t="s">
        <v>55</v>
      </c>
      <c r="E255" s="6" t="s">
        <v>24</v>
      </c>
      <c r="F255" s="8" t="s">
        <v>25</v>
      </c>
      <c r="G255" s="8" t="str">
        <f t="shared" si="0"/>
        <v>Marketing</v>
      </c>
      <c r="H255" s="8" t="s">
        <v>29</v>
      </c>
      <c r="I255" s="9">
        <v>5999</v>
      </c>
      <c r="J255" s="10">
        <v>0.25</v>
      </c>
      <c r="K255" s="11">
        <f t="shared" si="1"/>
        <v>1499.75</v>
      </c>
      <c r="L255" s="6" t="s">
        <v>27</v>
      </c>
      <c r="M255" s="6" t="s">
        <v>25</v>
      </c>
      <c r="N255" s="6" t="s">
        <v>37</v>
      </c>
      <c r="O255" s="3"/>
      <c r="P255" s="4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6.5" customHeight="1" x14ac:dyDescent="0.3">
      <c r="A256" s="5">
        <v>45319</v>
      </c>
      <c r="B256" s="6" t="s">
        <v>14</v>
      </c>
      <c r="C256" s="6" t="s">
        <v>78</v>
      </c>
      <c r="D256" s="7" t="s">
        <v>23</v>
      </c>
      <c r="E256" s="6" t="s">
        <v>24</v>
      </c>
      <c r="F256" s="8" t="s">
        <v>41</v>
      </c>
      <c r="G256" s="8" t="str">
        <f t="shared" si="0"/>
        <v>Copywriting</v>
      </c>
      <c r="H256" s="8" t="s">
        <v>29</v>
      </c>
      <c r="I256" s="9">
        <v>5251</v>
      </c>
      <c r="J256" s="10">
        <v>0.25</v>
      </c>
      <c r="K256" s="11">
        <f t="shared" si="1"/>
        <v>1312.75</v>
      </c>
      <c r="L256" s="6" t="s">
        <v>20</v>
      </c>
      <c r="M256" s="6" t="s">
        <v>46</v>
      </c>
      <c r="N256" s="6" t="s">
        <v>37</v>
      </c>
      <c r="O256" s="3"/>
      <c r="P256" s="4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6.5" customHeight="1" x14ac:dyDescent="0.3">
      <c r="A257" s="5">
        <v>45320</v>
      </c>
      <c r="B257" s="6" t="s">
        <v>14</v>
      </c>
      <c r="C257" s="6" t="s">
        <v>78</v>
      </c>
      <c r="D257" s="7" t="s">
        <v>64</v>
      </c>
      <c r="E257" s="6" t="s">
        <v>17</v>
      </c>
      <c r="F257" s="8" t="s">
        <v>25</v>
      </c>
      <c r="G257" s="8" t="str">
        <f t="shared" ref="G257:G481" si="2">IF(OR(F257="Web Dev", F257="App Dev"), "Design", IF(F257="SEO", "Copywriting", IF(OR(F257="Social Media", F257="Ads"), "Marketing", "")))</f>
        <v>Marketing</v>
      </c>
      <c r="H257" s="8" t="s">
        <v>33</v>
      </c>
      <c r="I257" s="9">
        <v>4086</v>
      </c>
      <c r="J257" s="10">
        <v>0.25</v>
      </c>
      <c r="K257" s="11">
        <f t="shared" ref="K257:K481" si="3">I257*J257</f>
        <v>1021.5</v>
      </c>
      <c r="L257" s="6" t="s">
        <v>20</v>
      </c>
      <c r="M257" s="6" t="s">
        <v>21</v>
      </c>
      <c r="N257" s="6" t="s">
        <v>37</v>
      </c>
      <c r="O257" s="3"/>
      <c r="P257" s="4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6.5" customHeight="1" x14ac:dyDescent="0.3">
      <c r="A258" s="5">
        <v>45320</v>
      </c>
      <c r="B258" s="6" t="s">
        <v>14</v>
      </c>
      <c r="C258" s="6" t="s">
        <v>78</v>
      </c>
      <c r="D258" s="7" t="s">
        <v>28</v>
      </c>
      <c r="E258" s="6" t="s">
        <v>24</v>
      </c>
      <c r="F258" s="8" t="s">
        <v>39</v>
      </c>
      <c r="G258" s="8" t="str">
        <f t="shared" si="2"/>
        <v>Design</v>
      </c>
      <c r="H258" s="8" t="s">
        <v>33</v>
      </c>
      <c r="I258" s="9">
        <v>6257</v>
      </c>
      <c r="J258" s="10">
        <v>0.35</v>
      </c>
      <c r="K258" s="11">
        <f t="shared" si="3"/>
        <v>2189.9499999999998</v>
      </c>
      <c r="L258" s="6" t="s">
        <v>27</v>
      </c>
      <c r="M258" s="6" t="s">
        <v>25</v>
      </c>
      <c r="N258" s="6" t="s">
        <v>37</v>
      </c>
      <c r="O258" s="3"/>
      <c r="P258" s="4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6.5" customHeight="1" x14ac:dyDescent="0.3">
      <c r="A259" s="5">
        <v>45320</v>
      </c>
      <c r="B259" s="6" t="s">
        <v>14</v>
      </c>
      <c r="C259" s="6" t="s">
        <v>78</v>
      </c>
      <c r="D259" s="7" t="s">
        <v>38</v>
      </c>
      <c r="E259" s="6" t="s">
        <v>24</v>
      </c>
      <c r="F259" s="8" t="s">
        <v>25</v>
      </c>
      <c r="G259" s="8" t="str">
        <f t="shared" si="2"/>
        <v>Marketing</v>
      </c>
      <c r="H259" s="8" t="s">
        <v>26</v>
      </c>
      <c r="I259" s="9">
        <v>4346</v>
      </c>
      <c r="J259" s="10">
        <v>0.25</v>
      </c>
      <c r="K259" s="11">
        <f t="shared" si="3"/>
        <v>1086.5</v>
      </c>
      <c r="L259" s="6" t="s">
        <v>20</v>
      </c>
      <c r="M259" s="6" t="s">
        <v>21</v>
      </c>
      <c r="N259" s="6" t="s">
        <v>30</v>
      </c>
      <c r="O259" s="3"/>
      <c r="P259" s="4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6.5" customHeight="1" x14ac:dyDescent="0.3">
      <c r="A260" s="5">
        <v>45321</v>
      </c>
      <c r="B260" s="6" t="s">
        <v>14</v>
      </c>
      <c r="C260" s="6" t="s">
        <v>78</v>
      </c>
      <c r="D260" s="7" t="s">
        <v>62</v>
      </c>
      <c r="E260" s="6" t="s">
        <v>24</v>
      </c>
      <c r="F260" s="8" t="s">
        <v>41</v>
      </c>
      <c r="G260" s="8" t="str">
        <f t="shared" si="2"/>
        <v>Copywriting</v>
      </c>
      <c r="H260" s="8" t="s">
        <v>19</v>
      </c>
      <c r="I260" s="9">
        <v>5588</v>
      </c>
      <c r="J260" s="10">
        <v>0.25</v>
      </c>
      <c r="K260" s="11">
        <f t="shared" si="3"/>
        <v>1397</v>
      </c>
      <c r="L260" s="6" t="s">
        <v>27</v>
      </c>
      <c r="M260" s="6" t="s">
        <v>46</v>
      </c>
      <c r="N260" s="6" t="s">
        <v>34</v>
      </c>
      <c r="O260" s="3"/>
      <c r="P260" s="4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6.5" customHeight="1" x14ac:dyDescent="0.3">
      <c r="A261" s="5">
        <v>45322</v>
      </c>
      <c r="B261" s="6" t="s">
        <v>14</v>
      </c>
      <c r="C261" s="6" t="s">
        <v>78</v>
      </c>
      <c r="D261" s="7" t="s">
        <v>16</v>
      </c>
      <c r="E261" s="6" t="s">
        <v>17</v>
      </c>
      <c r="F261" s="8" t="s">
        <v>41</v>
      </c>
      <c r="G261" s="8" t="str">
        <f t="shared" si="2"/>
        <v>Copywriting</v>
      </c>
      <c r="H261" s="8" t="s">
        <v>29</v>
      </c>
      <c r="I261" s="9">
        <v>3328</v>
      </c>
      <c r="J261" s="10">
        <v>0.25</v>
      </c>
      <c r="K261" s="11">
        <f t="shared" si="3"/>
        <v>832</v>
      </c>
      <c r="L261" s="6" t="s">
        <v>27</v>
      </c>
      <c r="M261" s="6" t="s">
        <v>25</v>
      </c>
      <c r="N261" s="6" t="s">
        <v>37</v>
      </c>
      <c r="O261" s="3"/>
      <c r="P261" s="4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6.5" customHeight="1" x14ac:dyDescent="0.3">
      <c r="A262" s="5">
        <v>45324</v>
      </c>
      <c r="B262" s="6" t="s">
        <v>53</v>
      </c>
      <c r="C262" s="6" t="s">
        <v>78</v>
      </c>
      <c r="D262" s="7" t="s">
        <v>66</v>
      </c>
      <c r="E262" s="6" t="s">
        <v>24</v>
      </c>
      <c r="F262" s="8" t="s">
        <v>41</v>
      </c>
      <c r="G262" s="8" t="str">
        <f t="shared" si="2"/>
        <v>Copywriting</v>
      </c>
      <c r="H262" s="8" t="s">
        <v>42</v>
      </c>
      <c r="I262" s="9">
        <v>3708</v>
      </c>
      <c r="J262" s="10">
        <v>0.25</v>
      </c>
      <c r="K262" s="11">
        <f t="shared" si="3"/>
        <v>927</v>
      </c>
      <c r="L262" s="6" t="s">
        <v>27</v>
      </c>
      <c r="M262" s="6" t="s">
        <v>21</v>
      </c>
      <c r="N262" s="6" t="s">
        <v>34</v>
      </c>
      <c r="O262" s="3"/>
      <c r="P262" s="4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6.5" customHeight="1" x14ac:dyDescent="0.3">
      <c r="A263" s="5">
        <v>45325</v>
      </c>
      <c r="B263" s="6" t="s">
        <v>53</v>
      </c>
      <c r="C263" s="6" t="s">
        <v>78</v>
      </c>
      <c r="D263" s="7" t="s">
        <v>50</v>
      </c>
      <c r="E263" s="6" t="s">
        <v>17</v>
      </c>
      <c r="F263" s="8" t="s">
        <v>18</v>
      </c>
      <c r="G263" s="8" t="str">
        <f t="shared" si="2"/>
        <v>Marketing</v>
      </c>
      <c r="H263" s="8" t="s">
        <v>29</v>
      </c>
      <c r="I263" s="9">
        <v>3786</v>
      </c>
      <c r="J263" s="10">
        <v>0.3</v>
      </c>
      <c r="K263" s="11">
        <f t="shared" si="3"/>
        <v>1135.8</v>
      </c>
      <c r="L263" s="6" t="s">
        <v>27</v>
      </c>
      <c r="M263" s="6" t="s">
        <v>46</v>
      </c>
      <c r="N263" s="6" t="s">
        <v>30</v>
      </c>
      <c r="O263" s="3"/>
      <c r="P263" s="4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6.5" customHeight="1" x14ac:dyDescent="0.3">
      <c r="A264" s="5">
        <v>45328</v>
      </c>
      <c r="B264" s="6" t="s">
        <v>53</v>
      </c>
      <c r="C264" s="6" t="s">
        <v>78</v>
      </c>
      <c r="D264" s="7" t="s">
        <v>56</v>
      </c>
      <c r="E264" s="6" t="s">
        <v>17</v>
      </c>
      <c r="F264" s="8" t="s">
        <v>18</v>
      </c>
      <c r="G264" s="8" t="str">
        <f t="shared" si="2"/>
        <v>Marketing</v>
      </c>
      <c r="H264" s="8" t="s">
        <v>29</v>
      </c>
      <c r="I264" s="9">
        <v>4238</v>
      </c>
      <c r="J264" s="10">
        <v>0.3</v>
      </c>
      <c r="K264" s="11">
        <f t="shared" si="3"/>
        <v>1271.3999999999999</v>
      </c>
      <c r="L264" s="6" t="s">
        <v>20</v>
      </c>
      <c r="M264" s="6" t="s">
        <v>21</v>
      </c>
      <c r="N264" s="6" t="s">
        <v>22</v>
      </c>
      <c r="O264" s="3"/>
      <c r="P264" s="4"/>
      <c r="Q264" s="3"/>
      <c r="R264" s="3"/>
      <c r="S264" s="3"/>
      <c r="T264" s="3"/>
      <c r="U264" s="3"/>
      <c r="V264" s="3" t="s">
        <v>93</v>
      </c>
      <c r="W264" s="3"/>
      <c r="X264" s="3"/>
      <c r="Y264" s="3"/>
      <c r="Z264" s="3"/>
    </row>
    <row r="265" spans="1:26" ht="16.5" customHeight="1" x14ac:dyDescent="0.3">
      <c r="A265" s="5">
        <v>45328</v>
      </c>
      <c r="B265" s="6" t="s">
        <v>53</v>
      </c>
      <c r="C265" s="6" t="s">
        <v>78</v>
      </c>
      <c r="D265" s="7" t="s">
        <v>57</v>
      </c>
      <c r="E265" s="6" t="s">
        <v>24</v>
      </c>
      <c r="F265" s="8" t="s">
        <v>41</v>
      </c>
      <c r="G265" s="8" t="str">
        <f t="shared" si="2"/>
        <v>Copywriting</v>
      </c>
      <c r="H265" s="8" t="s">
        <v>26</v>
      </c>
      <c r="I265" s="9">
        <v>2573</v>
      </c>
      <c r="J265" s="10">
        <v>0.25</v>
      </c>
      <c r="K265" s="11">
        <f t="shared" si="3"/>
        <v>643.25</v>
      </c>
      <c r="L265" s="6" t="s">
        <v>27</v>
      </c>
      <c r="M265" s="6" t="s">
        <v>21</v>
      </c>
      <c r="N265" s="6" t="s">
        <v>34</v>
      </c>
      <c r="O265" s="3"/>
      <c r="P265" s="4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6.5" customHeight="1" x14ac:dyDescent="0.3">
      <c r="A266" s="5">
        <v>45330</v>
      </c>
      <c r="B266" s="6" t="s">
        <v>53</v>
      </c>
      <c r="C266" s="6" t="s">
        <v>78</v>
      </c>
      <c r="D266" s="7" t="s">
        <v>63</v>
      </c>
      <c r="E266" s="6" t="s">
        <v>17</v>
      </c>
      <c r="F266" s="8" t="s">
        <v>25</v>
      </c>
      <c r="G266" s="8" t="str">
        <f t="shared" si="2"/>
        <v>Marketing</v>
      </c>
      <c r="H266" s="8" t="s">
        <v>19</v>
      </c>
      <c r="I266" s="9">
        <v>6194</v>
      </c>
      <c r="J266" s="10">
        <v>0.25</v>
      </c>
      <c r="K266" s="11">
        <f t="shared" si="3"/>
        <v>1548.5</v>
      </c>
      <c r="L266" s="6" t="s">
        <v>20</v>
      </c>
      <c r="M266" s="6" t="s">
        <v>21</v>
      </c>
      <c r="N266" s="6" t="s">
        <v>30</v>
      </c>
      <c r="O266" s="3"/>
      <c r="P266" s="4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6.5" customHeight="1" x14ac:dyDescent="0.3">
      <c r="A267" s="5">
        <v>45333</v>
      </c>
      <c r="B267" s="6" t="s">
        <v>53</v>
      </c>
      <c r="C267" s="6" t="s">
        <v>78</v>
      </c>
      <c r="D267" s="7" t="s">
        <v>52</v>
      </c>
      <c r="E267" s="6" t="s">
        <v>17</v>
      </c>
      <c r="F267" s="8" t="s">
        <v>32</v>
      </c>
      <c r="G267" s="8" t="str">
        <f t="shared" si="2"/>
        <v>Design</v>
      </c>
      <c r="H267" s="8" t="s">
        <v>26</v>
      </c>
      <c r="I267" s="9">
        <v>6167</v>
      </c>
      <c r="J267" s="10">
        <v>0.4</v>
      </c>
      <c r="K267" s="11">
        <f t="shared" si="3"/>
        <v>2466.8000000000002</v>
      </c>
      <c r="L267" s="6" t="s">
        <v>20</v>
      </c>
      <c r="M267" s="6" t="s">
        <v>46</v>
      </c>
      <c r="N267" s="6" t="s">
        <v>37</v>
      </c>
      <c r="O267" s="3"/>
      <c r="P267" s="4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6.5" customHeight="1" x14ac:dyDescent="0.3">
      <c r="A268" s="5">
        <v>45333</v>
      </c>
      <c r="B268" s="6" t="s">
        <v>53</v>
      </c>
      <c r="C268" s="6" t="s">
        <v>78</v>
      </c>
      <c r="D268" s="7" t="s">
        <v>68</v>
      </c>
      <c r="E268" s="6" t="s">
        <v>24</v>
      </c>
      <c r="F268" s="8" t="s">
        <v>18</v>
      </c>
      <c r="G268" s="8" t="str">
        <f t="shared" si="2"/>
        <v>Marketing</v>
      </c>
      <c r="H268" s="8" t="s">
        <v>33</v>
      </c>
      <c r="I268" s="9">
        <v>2704</v>
      </c>
      <c r="J268" s="10">
        <v>0.3</v>
      </c>
      <c r="K268" s="11">
        <f t="shared" si="3"/>
        <v>811.19999999999993</v>
      </c>
      <c r="L268" s="6" t="s">
        <v>20</v>
      </c>
      <c r="M268" s="6" t="s">
        <v>21</v>
      </c>
      <c r="N268" s="6" t="s">
        <v>30</v>
      </c>
      <c r="O268" s="3"/>
      <c r="P268" s="4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6.5" customHeight="1" x14ac:dyDescent="0.3">
      <c r="A269" s="5">
        <v>45334</v>
      </c>
      <c r="B269" s="6" t="s">
        <v>53</v>
      </c>
      <c r="C269" s="6" t="s">
        <v>78</v>
      </c>
      <c r="D269" s="7" t="s">
        <v>47</v>
      </c>
      <c r="E269" s="6" t="s">
        <v>24</v>
      </c>
      <c r="F269" s="8" t="s">
        <v>41</v>
      </c>
      <c r="G269" s="8" t="str">
        <f t="shared" si="2"/>
        <v>Copywriting</v>
      </c>
      <c r="H269" s="8" t="s">
        <v>26</v>
      </c>
      <c r="I269" s="9">
        <v>7145</v>
      </c>
      <c r="J269" s="10">
        <v>0.25</v>
      </c>
      <c r="K269" s="11">
        <f t="shared" si="3"/>
        <v>1786.25</v>
      </c>
      <c r="L269" s="6" t="s">
        <v>27</v>
      </c>
      <c r="M269" s="6" t="s">
        <v>25</v>
      </c>
      <c r="N269" s="6" t="s">
        <v>37</v>
      </c>
      <c r="O269" s="3"/>
      <c r="P269" s="4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6.5" customHeight="1" x14ac:dyDescent="0.3">
      <c r="A270" s="5">
        <v>45334</v>
      </c>
      <c r="B270" s="6" t="s">
        <v>53</v>
      </c>
      <c r="C270" s="6" t="s">
        <v>78</v>
      </c>
      <c r="D270" s="7" t="s">
        <v>62</v>
      </c>
      <c r="E270" s="6" t="s">
        <v>24</v>
      </c>
      <c r="F270" s="8" t="s">
        <v>41</v>
      </c>
      <c r="G270" s="8" t="str">
        <f t="shared" si="2"/>
        <v>Copywriting</v>
      </c>
      <c r="H270" s="8" t="s">
        <v>33</v>
      </c>
      <c r="I270" s="9">
        <v>6330</v>
      </c>
      <c r="J270" s="10">
        <v>0.25</v>
      </c>
      <c r="K270" s="11">
        <f t="shared" si="3"/>
        <v>1582.5</v>
      </c>
      <c r="L270" s="6" t="s">
        <v>20</v>
      </c>
      <c r="M270" s="6" t="s">
        <v>21</v>
      </c>
      <c r="N270" s="6" t="s">
        <v>37</v>
      </c>
      <c r="O270" s="3"/>
      <c r="P270" s="4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6.5" customHeight="1" x14ac:dyDescent="0.3">
      <c r="A271" s="5">
        <v>45339</v>
      </c>
      <c r="B271" s="6" t="s">
        <v>53</v>
      </c>
      <c r="C271" s="6" t="s">
        <v>78</v>
      </c>
      <c r="D271" s="7" t="s">
        <v>48</v>
      </c>
      <c r="E271" s="6" t="s">
        <v>17</v>
      </c>
      <c r="F271" s="8" t="s">
        <v>25</v>
      </c>
      <c r="G271" s="8" t="str">
        <f t="shared" si="2"/>
        <v>Marketing</v>
      </c>
      <c r="H271" s="8" t="s">
        <v>26</v>
      </c>
      <c r="I271" s="9">
        <v>6448</v>
      </c>
      <c r="J271" s="10">
        <v>0.25</v>
      </c>
      <c r="K271" s="11">
        <f t="shared" si="3"/>
        <v>1612</v>
      </c>
      <c r="L271" s="6" t="s">
        <v>20</v>
      </c>
      <c r="M271" s="6" t="s">
        <v>46</v>
      </c>
      <c r="N271" s="6" t="s">
        <v>37</v>
      </c>
      <c r="O271" s="3"/>
      <c r="P271" s="4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6.5" customHeight="1" x14ac:dyDescent="0.3">
      <c r="A272" s="5">
        <v>45339</v>
      </c>
      <c r="B272" s="6" t="s">
        <v>53</v>
      </c>
      <c r="C272" s="6" t="s">
        <v>78</v>
      </c>
      <c r="D272" s="7" t="s">
        <v>63</v>
      </c>
      <c r="E272" s="6" t="s">
        <v>17</v>
      </c>
      <c r="F272" s="8" t="s">
        <v>32</v>
      </c>
      <c r="G272" s="8" t="str">
        <f t="shared" si="2"/>
        <v>Design</v>
      </c>
      <c r="H272" s="8" t="s">
        <v>29</v>
      </c>
      <c r="I272" s="9">
        <v>7181</v>
      </c>
      <c r="J272" s="10">
        <v>0.4</v>
      </c>
      <c r="K272" s="11">
        <f t="shared" si="3"/>
        <v>2872.4</v>
      </c>
      <c r="L272" s="6" t="s">
        <v>20</v>
      </c>
      <c r="M272" s="6" t="s">
        <v>21</v>
      </c>
      <c r="N272" s="6" t="s">
        <v>30</v>
      </c>
      <c r="O272" s="3"/>
      <c r="P272" s="4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6.5" customHeight="1" x14ac:dyDescent="0.3">
      <c r="A273" s="5">
        <v>45340</v>
      </c>
      <c r="B273" s="6" t="s">
        <v>53</v>
      </c>
      <c r="C273" s="6" t="s">
        <v>78</v>
      </c>
      <c r="D273" s="7" t="s">
        <v>49</v>
      </c>
      <c r="E273" s="6" t="s">
        <v>17</v>
      </c>
      <c r="F273" s="8" t="s">
        <v>41</v>
      </c>
      <c r="G273" s="8" t="str">
        <f t="shared" si="2"/>
        <v>Copywriting</v>
      </c>
      <c r="H273" s="8" t="s">
        <v>33</v>
      </c>
      <c r="I273" s="9">
        <v>4720</v>
      </c>
      <c r="J273" s="10">
        <v>0.25</v>
      </c>
      <c r="K273" s="11">
        <f t="shared" si="3"/>
        <v>1180</v>
      </c>
      <c r="L273" s="6" t="s">
        <v>20</v>
      </c>
      <c r="M273" s="6" t="s">
        <v>46</v>
      </c>
      <c r="N273" s="6" t="s">
        <v>30</v>
      </c>
      <c r="O273" s="3"/>
      <c r="P273" s="4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6.5" customHeight="1" x14ac:dyDescent="0.3">
      <c r="A274" s="5">
        <v>45341</v>
      </c>
      <c r="B274" s="6" t="s">
        <v>53</v>
      </c>
      <c r="C274" s="6" t="s">
        <v>78</v>
      </c>
      <c r="D274" s="7" t="s">
        <v>52</v>
      </c>
      <c r="E274" s="6" t="s">
        <v>17</v>
      </c>
      <c r="F274" s="8" t="s">
        <v>39</v>
      </c>
      <c r="G274" s="8" t="str">
        <f t="shared" si="2"/>
        <v>Design</v>
      </c>
      <c r="H274" s="8" t="s">
        <v>42</v>
      </c>
      <c r="I274" s="9">
        <v>3152</v>
      </c>
      <c r="J274" s="10">
        <v>0.35</v>
      </c>
      <c r="K274" s="11">
        <f t="shared" si="3"/>
        <v>1103.1999999999998</v>
      </c>
      <c r="L274" s="6" t="s">
        <v>27</v>
      </c>
      <c r="M274" s="6" t="s">
        <v>21</v>
      </c>
      <c r="N274" s="6" t="s">
        <v>37</v>
      </c>
      <c r="O274" s="3"/>
      <c r="P274" s="4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6.5" customHeight="1" x14ac:dyDescent="0.3">
      <c r="A275" s="5">
        <v>45343</v>
      </c>
      <c r="B275" s="6" t="s">
        <v>53</v>
      </c>
      <c r="C275" s="6" t="s">
        <v>78</v>
      </c>
      <c r="D275" s="7" t="s">
        <v>51</v>
      </c>
      <c r="E275" s="6" t="s">
        <v>24</v>
      </c>
      <c r="F275" s="8" t="s">
        <v>25</v>
      </c>
      <c r="G275" s="8" t="str">
        <f t="shared" si="2"/>
        <v>Marketing</v>
      </c>
      <c r="H275" s="8" t="s">
        <v>33</v>
      </c>
      <c r="I275" s="9">
        <v>4873</v>
      </c>
      <c r="J275" s="10">
        <v>0.25</v>
      </c>
      <c r="K275" s="11">
        <f t="shared" si="3"/>
        <v>1218.25</v>
      </c>
      <c r="L275" s="6" t="s">
        <v>20</v>
      </c>
      <c r="M275" s="6" t="s">
        <v>46</v>
      </c>
      <c r="N275" s="6" t="s">
        <v>37</v>
      </c>
      <c r="O275" s="3"/>
      <c r="P275" s="4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6.5" customHeight="1" x14ac:dyDescent="0.3">
      <c r="A276" s="5">
        <v>45344</v>
      </c>
      <c r="B276" s="6" t="s">
        <v>53</v>
      </c>
      <c r="C276" s="6" t="s">
        <v>78</v>
      </c>
      <c r="D276" s="7" t="s">
        <v>40</v>
      </c>
      <c r="E276" s="6" t="s">
        <v>17</v>
      </c>
      <c r="F276" s="8" t="s">
        <v>18</v>
      </c>
      <c r="G276" s="8" t="str">
        <f t="shared" si="2"/>
        <v>Marketing</v>
      </c>
      <c r="H276" s="8" t="s">
        <v>29</v>
      </c>
      <c r="I276" s="9">
        <v>6525</v>
      </c>
      <c r="J276" s="10">
        <v>0.3</v>
      </c>
      <c r="K276" s="11">
        <f t="shared" si="3"/>
        <v>1957.5</v>
      </c>
      <c r="L276" s="6" t="s">
        <v>20</v>
      </c>
      <c r="M276" s="6" t="s">
        <v>25</v>
      </c>
      <c r="N276" s="6" t="s">
        <v>34</v>
      </c>
      <c r="O276" s="3"/>
      <c r="P276" s="4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6.5" customHeight="1" x14ac:dyDescent="0.3">
      <c r="A277" s="5">
        <v>45345</v>
      </c>
      <c r="B277" s="6" t="s">
        <v>53</v>
      </c>
      <c r="C277" s="6" t="s">
        <v>78</v>
      </c>
      <c r="D277" s="7" t="s">
        <v>47</v>
      </c>
      <c r="E277" s="6" t="s">
        <v>24</v>
      </c>
      <c r="F277" s="8" t="s">
        <v>32</v>
      </c>
      <c r="G277" s="8" t="str">
        <f t="shared" si="2"/>
        <v>Design</v>
      </c>
      <c r="H277" s="8" t="s">
        <v>29</v>
      </c>
      <c r="I277" s="9">
        <v>3926</v>
      </c>
      <c r="J277" s="10">
        <v>0.4</v>
      </c>
      <c r="K277" s="11">
        <f t="shared" si="3"/>
        <v>1570.4</v>
      </c>
      <c r="L277" s="6" t="s">
        <v>20</v>
      </c>
      <c r="M277" s="6" t="s">
        <v>21</v>
      </c>
      <c r="N277" s="6" t="s">
        <v>30</v>
      </c>
      <c r="O277" s="3"/>
      <c r="P277" s="4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6.5" customHeight="1" x14ac:dyDescent="0.3">
      <c r="A278" s="5">
        <v>45349</v>
      </c>
      <c r="B278" s="6" t="s">
        <v>53</v>
      </c>
      <c r="C278" s="6" t="s">
        <v>78</v>
      </c>
      <c r="D278" s="7" t="s">
        <v>40</v>
      </c>
      <c r="E278" s="6" t="s">
        <v>17</v>
      </c>
      <c r="F278" s="8" t="s">
        <v>39</v>
      </c>
      <c r="G278" s="8" t="str">
        <f t="shared" si="2"/>
        <v>Design</v>
      </c>
      <c r="H278" s="8" t="s">
        <v>29</v>
      </c>
      <c r="I278" s="9">
        <v>5071</v>
      </c>
      <c r="J278" s="10">
        <v>0.35</v>
      </c>
      <c r="K278" s="11">
        <f t="shared" si="3"/>
        <v>1774.85</v>
      </c>
      <c r="L278" s="6" t="s">
        <v>20</v>
      </c>
      <c r="M278" s="6" t="s">
        <v>25</v>
      </c>
      <c r="N278" s="6" t="s">
        <v>37</v>
      </c>
      <c r="O278" s="3"/>
      <c r="P278" s="4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6.5" customHeight="1" x14ac:dyDescent="0.3">
      <c r="A279" s="5">
        <v>45349</v>
      </c>
      <c r="B279" s="6" t="s">
        <v>53</v>
      </c>
      <c r="C279" s="6" t="s">
        <v>78</v>
      </c>
      <c r="D279" s="7" t="s">
        <v>79</v>
      </c>
      <c r="E279" s="6" t="s">
        <v>24</v>
      </c>
      <c r="F279" s="8" t="s">
        <v>25</v>
      </c>
      <c r="G279" s="8" t="str">
        <f t="shared" si="2"/>
        <v>Marketing</v>
      </c>
      <c r="H279" s="8" t="s">
        <v>42</v>
      </c>
      <c r="I279" s="9">
        <v>3656</v>
      </c>
      <c r="J279" s="10">
        <v>0.25</v>
      </c>
      <c r="K279" s="11">
        <f t="shared" si="3"/>
        <v>914</v>
      </c>
      <c r="L279" s="6" t="s">
        <v>27</v>
      </c>
      <c r="M279" s="6" t="s">
        <v>46</v>
      </c>
      <c r="N279" s="6" t="s">
        <v>30</v>
      </c>
      <c r="O279" s="3"/>
      <c r="P279" s="4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6.5" customHeight="1" x14ac:dyDescent="0.3">
      <c r="A280" s="5">
        <v>45349</v>
      </c>
      <c r="B280" s="6" t="s">
        <v>53</v>
      </c>
      <c r="C280" s="6" t="s">
        <v>78</v>
      </c>
      <c r="D280" s="7" t="s">
        <v>70</v>
      </c>
      <c r="E280" s="6" t="s">
        <v>24</v>
      </c>
      <c r="F280" s="8" t="s">
        <v>39</v>
      </c>
      <c r="G280" s="8" t="str">
        <f t="shared" si="2"/>
        <v>Design</v>
      </c>
      <c r="H280" s="8" t="s">
        <v>42</v>
      </c>
      <c r="I280" s="9">
        <v>3210</v>
      </c>
      <c r="J280" s="10">
        <v>0.35</v>
      </c>
      <c r="K280" s="11">
        <f t="shared" si="3"/>
        <v>1123.5</v>
      </c>
      <c r="L280" s="6" t="s">
        <v>20</v>
      </c>
      <c r="M280" s="6" t="s">
        <v>25</v>
      </c>
      <c r="N280" s="6" t="s">
        <v>30</v>
      </c>
      <c r="O280" s="3"/>
      <c r="P280" s="4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6.5" customHeight="1" x14ac:dyDescent="0.3">
      <c r="A281" s="5">
        <v>45350</v>
      </c>
      <c r="B281" s="6" t="s">
        <v>53</v>
      </c>
      <c r="C281" s="6" t="s">
        <v>78</v>
      </c>
      <c r="D281" s="7" t="s">
        <v>59</v>
      </c>
      <c r="E281" s="6" t="s">
        <v>24</v>
      </c>
      <c r="F281" s="8" t="s">
        <v>39</v>
      </c>
      <c r="G281" s="8" t="str">
        <f t="shared" si="2"/>
        <v>Design</v>
      </c>
      <c r="H281" s="8" t="s">
        <v>26</v>
      </c>
      <c r="I281" s="9">
        <v>6265</v>
      </c>
      <c r="J281" s="10">
        <v>0.35</v>
      </c>
      <c r="K281" s="11">
        <f t="shared" si="3"/>
        <v>2192.75</v>
      </c>
      <c r="L281" s="6" t="s">
        <v>27</v>
      </c>
      <c r="M281" s="6" t="s">
        <v>21</v>
      </c>
      <c r="N281" s="6" t="s">
        <v>30</v>
      </c>
      <c r="O281" s="3"/>
      <c r="P281" s="4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6.5" customHeight="1" x14ac:dyDescent="0.3">
      <c r="A282" s="5">
        <v>45352</v>
      </c>
      <c r="B282" s="6" t="s">
        <v>61</v>
      </c>
      <c r="C282" s="6" t="s">
        <v>78</v>
      </c>
      <c r="D282" s="7" t="s">
        <v>48</v>
      </c>
      <c r="E282" s="6" t="s">
        <v>17</v>
      </c>
      <c r="F282" s="8" t="s">
        <v>39</v>
      </c>
      <c r="G282" s="8" t="str">
        <f t="shared" si="2"/>
        <v>Design</v>
      </c>
      <c r="H282" s="8" t="s">
        <v>42</v>
      </c>
      <c r="I282" s="9">
        <v>2473</v>
      </c>
      <c r="J282" s="10">
        <v>0.35</v>
      </c>
      <c r="K282" s="11">
        <f t="shared" si="3"/>
        <v>865.55</v>
      </c>
      <c r="L282" s="6" t="s">
        <v>20</v>
      </c>
      <c r="M282" s="6" t="s">
        <v>25</v>
      </c>
      <c r="N282" s="6" t="s">
        <v>34</v>
      </c>
      <c r="O282" s="3"/>
      <c r="P282" s="4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6.5" customHeight="1" x14ac:dyDescent="0.3">
      <c r="A283" s="5">
        <v>45352</v>
      </c>
      <c r="B283" s="6" t="s">
        <v>61</v>
      </c>
      <c r="C283" s="6" t="s">
        <v>78</v>
      </c>
      <c r="D283" s="7" t="s">
        <v>51</v>
      </c>
      <c r="E283" s="6" t="s">
        <v>24</v>
      </c>
      <c r="F283" s="8" t="s">
        <v>25</v>
      </c>
      <c r="G283" s="8" t="str">
        <f t="shared" si="2"/>
        <v>Marketing</v>
      </c>
      <c r="H283" s="8" t="s">
        <v>26</v>
      </c>
      <c r="I283" s="9">
        <v>3162</v>
      </c>
      <c r="J283" s="10">
        <v>0.25</v>
      </c>
      <c r="K283" s="11">
        <f t="shared" si="3"/>
        <v>790.5</v>
      </c>
      <c r="L283" s="6" t="s">
        <v>27</v>
      </c>
      <c r="M283" s="6" t="s">
        <v>21</v>
      </c>
      <c r="N283" s="6" t="s">
        <v>22</v>
      </c>
      <c r="O283" s="3"/>
      <c r="P283" s="4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6.5" customHeight="1" x14ac:dyDescent="0.3">
      <c r="A284" s="5">
        <v>45355</v>
      </c>
      <c r="B284" s="6" t="s">
        <v>61</v>
      </c>
      <c r="C284" s="6" t="s">
        <v>78</v>
      </c>
      <c r="D284" s="7" t="s">
        <v>40</v>
      </c>
      <c r="E284" s="6" t="s">
        <v>17</v>
      </c>
      <c r="F284" s="8" t="s">
        <v>39</v>
      </c>
      <c r="G284" s="8" t="str">
        <f t="shared" si="2"/>
        <v>Design</v>
      </c>
      <c r="H284" s="8" t="s">
        <v>26</v>
      </c>
      <c r="I284" s="9">
        <v>6880</v>
      </c>
      <c r="J284" s="10">
        <v>0.35</v>
      </c>
      <c r="K284" s="11">
        <f t="shared" si="3"/>
        <v>2408</v>
      </c>
      <c r="L284" s="6" t="s">
        <v>27</v>
      </c>
      <c r="M284" s="6" t="s">
        <v>46</v>
      </c>
      <c r="N284" s="6" t="s">
        <v>30</v>
      </c>
      <c r="O284" s="3"/>
      <c r="P284" s="4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6.5" customHeight="1" x14ac:dyDescent="0.3">
      <c r="A285" s="5">
        <v>45356</v>
      </c>
      <c r="B285" s="6" t="s">
        <v>61</v>
      </c>
      <c r="C285" s="6" t="s">
        <v>78</v>
      </c>
      <c r="D285" s="7" t="s">
        <v>38</v>
      </c>
      <c r="E285" s="6" t="s">
        <v>24</v>
      </c>
      <c r="F285" s="8" t="s">
        <v>32</v>
      </c>
      <c r="G285" s="8" t="str">
        <f t="shared" si="2"/>
        <v>Design</v>
      </c>
      <c r="H285" s="8" t="s">
        <v>29</v>
      </c>
      <c r="I285" s="9">
        <v>5132</v>
      </c>
      <c r="J285" s="10">
        <v>0.4</v>
      </c>
      <c r="K285" s="11">
        <f t="shared" si="3"/>
        <v>2052.8000000000002</v>
      </c>
      <c r="L285" s="6" t="s">
        <v>20</v>
      </c>
      <c r="M285" s="6" t="s">
        <v>46</v>
      </c>
      <c r="N285" s="6" t="s">
        <v>30</v>
      </c>
      <c r="O285" s="3"/>
      <c r="P285" s="4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6.5" customHeight="1" x14ac:dyDescent="0.3">
      <c r="A286" s="5">
        <v>45359</v>
      </c>
      <c r="B286" s="6" t="s">
        <v>61</v>
      </c>
      <c r="C286" s="6" t="s">
        <v>78</v>
      </c>
      <c r="D286" s="7" t="s">
        <v>59</v>
      </c>
      <c r="E286" s="6" t="s">
        <v>24</v>
      </c>
      <c r="F286" s="8" t="s">
        <v>32</v>
      </c>
      <c r="G286" s="8" t="str">
        <f t="shared" si="2"/>
        <v>Design</v>
      </c>
      <c r="H286" s="8" t="s">
        <v>42</v>
      </c>
      <c r="I286" s="9">
        <v>6788</v>
      </c>
      <c r="J286" s="10">
        <v>0.4</v>
      </c>
      <c r="K286" s="11">
        <f t="shared" si="3"/>
        <v>2715.2000000000003</v>
      </c>
      <c r="L286" s="6" t="s">
        <v>20</v>
      </c>
      <c r="M286" s="6" t="s">
        <v>21</v>
      </c>
      <c r="N286" s="6" t="s">
        <v>30</v>
      </c>
      <c r="O286" s="3"/>
      <c r="P286" s="4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6.5" customHeight="1" x14ac:dyDescent="0.3">
      <c r="A287" s="5">
        <v>45360</v>
      </c>
      <c r="B287" s="6" t="s">
        <v>61</v>
      </c>
      <c r="C287" s="6" t="s">
        <v>78</v>
      </c>
      <c r="D287" s="7" t="s">
        <v>64</v>
      </c>
      <c r="E287" s="6" t="s">
        <v>17</v>
      </c>
      <c r="F287" s="8" t="s">
        <v>39</v>
      </c>
      <c r="G287" s="8" t="str">
        <f t="shared" si="2"/>
        <v>Design</v>
      </c>
      <c r="H287" s="8" t="s">
        <v>29</v>
      </c>
      <c r="I287" s="9">
        <v>6345</v>
      </c>
      <c r="J287" s="10">
        <v>0.35</v>
      </c>
      <c r="K287" s="11">
        <f t="shared" si="3"/>
        <v>2220.75</v>
      </c>
      <c r="L287" s="6" t="s">
        <v>20</v>
      </c>
      <c r="M287" s="6" t="s">
        <v>21</v>
      </c>
      <c r="N287" s="6" t="s">
        <v>34</v>
      </c>
      <c r="O287" s="3"/>
      <c r="P287" s="4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6.5" customHeight="1" x14ac:dyDescent="0.3">
      <c r="A288" s="5">
        <v>45362</v>
      </c>
      <c r="B288" s="6" t="s">
        <v>61</v>
      </c>
      <c r="C288" s="6" t="s">
        <v>78</v>
      </c>
      <c r="D288" s="7" t="s">
        <v>50</v>
      </c>
      <c r="E288" s="6" t="s">
        <v>17</v>
      </c>
      <c r="F288" s="8" t="s">
        <v>41</v>
      </c>
      <c r="G288" s="8" t="str">
        <f t="shared" si="2"/>
        <v>Copywriting</v>
      </c>
      <c r="H288" s="8" t="s">
        <v>33</v>
      </c>
      <c r="I288" s="9">
        <v>2868</v>
      </c>
      <c r="J288" s="10">
        <v>0.25</v>
      </c>
      <c r="K288" s="11">
        <f t="shared" si="3"/>
        <v>717</v>
      </c>
      <c r="L288" s="6" t="s">
        <v>20</v>
      </c>
      <c r="M288" s="6" t="s">
        <v>21</v>
      </c>
      <c r="N288" s="6" t="s">
        <v>22</v>
      </c>
      <c r="O288" s="3"/>
      <c r="P288" s="4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6.5" customHeight="1" x14ac:dyDescent="0.3">
      <c r="A289" s="5">
        <v>45363</v>
      </c>
      <c r="B289" s="6" t="s">
        <v>61</v>
      </c>
      <c r="C289" s="6" t="s">
        <v>78</v>
      </c>
      <c r="D289" s="7" t="s">
        <v>52</v>
      </c>
      <c r="E289" s="6" t="s">
        <v>17</v>
      </c>
      <c r="F289" s="8" t="s">
        <v>25</v>
      </c>
      <c r="G289" s="8" t="str">
        <f t="shared" si="2"/>
        <v>Marketing</v>
      </c>
      <c r="H289" s="8" t="s">
        <v>19</v>
      </c>
      <c r="I289" s="9">
        <v>5442</v>
      </c>
      <c r="J289" s="10">
        <v>0.25</v>
      </c>
      <c r="K289" s="11">
        <f t="shared" si="3"/>
        <v>1360.5</v>
      </c>
      <c r="L289" s="6" t="s">
        <v>27</v>
      </c>
      <c r="M289" s="6" t="s">
        <v>21</v>
      </c>
      <c r="N289" s="6" t="s">
        <v>37</v>
      </c>
      <c r="O289" s="3"/>
      <c r="P289" s="4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6.5" customHeight="1" x14ac:dyDescent="0.3">
      <c r="A290" s="5">
        <v>45364</v>
      </c>
      <c r="B290" s="6" t="s">
        <v>61</v>
      </c>
      <c r="C290" s="6" t="s">
        <v>78</v>
      </c>
      <c r="D290" s="7" t="s">
        <v>56</v>
      </c>
      <c r="E290" s="6" t="s">
        <v>17</v>
      </c>
      <c r="F290" s="8" t="s">
        <v>18</v>
      </c>
      <c r="G290" s="8" t="str">
        <f t="shared" si="2"/>
        <v>Marketing</v>
      </c>
      <c r="H290" s="8" t="s">
        <v>33</v>
      </c>
      <c r="I290" s="9">
        <v>5325</v>
      </c>
      <c r="J290" s="10">
        <v>0.3</v>
      </c>
      <c r="K290" s="11">
        <f t="shared" si="3"/>
        <v>1597.5</v>
      </c>
      <c r="L290" s="6" t="s">
        <v>20</v>
      </c>
      <c r="M290" s="6" t="s">
        <v>25</v>
      </c>
      <c r="N290" s="6" t="s">
        <v>22</v>
      </c>
      <c r="O290" s="3"/>
      <c r="P290" s="4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6.5" customHeight="1" x14ac:dyDescent="0.3">
      <c r="A291" s="5">
        <v>45364</v>
      </c>
      <c r="B291" s="6" t="s">
        <v>61</v>
      </c>
      <c r="C291" s="6" t="s">
        <v>78</v>
      </c>
      <c r="D291" s="7" t="s">
        <v>68</v>
      </c>
      <c r="E291" s="6" t="s">
        <v>24</v>
      </c>
      <c r="F291" s="8" t="s">
        <v>41</v>
      </c>
      <c r="G291" s="8" t="str">
        <f t="shared" si="2"/>
        <v>Copywriting</v>
      </c>
      <c r="H291" s="8" t="s">
        <v>42</v>
      </c>
      <c r="I291" s="9">
        <v>3907</v>
      </c>
      <c r="J291" s="10">
        <v>0.25</v>
      </c>
      <c r="K291" s="11">
        <f t="shared" si="3"/>
        <v>976.75</v>
      </c>
      <c r="L291" s="6" t="s">
        <v>27</v>
      </c>
      <c r="M291" s="6" t="s">
        <v>46</v>
      </c>
      <c r="N291" s="6" t="s">
        <v>30</v>
      </c>
      <c r="O291" s="3"/>
      <c r="P291" s="4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6.5" customHeight="1" x14ac:dyDescent="0.3">
      <c r="A292" s="5">
        <v>45366</v>
      </c>
      <c r="B292" s="6" t="s">
        <v>61</v>
      </c>
      <c r="C292" s="6" t="s">
        <v>78</v>
      </c>
      <c r="D292" s="7" t="s">
        <v>28</v>
      </c>
      <c r="E292" s="6" t="s">
        <v>24</v>
      </c>
      <c r="F292" s="8" t="s">
        <v>18</v>
      </c>
      <c r="G292" s="8" t="str">
        <f t="shared" si="2"/>
        <v>Marketing</v>
      </c>
      <c r="H292" s="8" t="s">
        <v>33</v>
      </c>
      <c r="I292" s="9">
        <v>4765</v>
      </c>
      <c r="J292" s="10">
        <v>0.3</v>
      </c>
      <c r="K292" s="11">
        <f t="shared" si="3"/>
        <v>1429.5</v>
      </c>
      <c r="L292" s="6" t="s">
        <v>27</v>
      </c>
      <c r="M292" s="6" t="s">
        <v>46</v>
      </c>
      <c r="N292" s="6" t="s">
        <v>22</v>
      </c>
      <c r="O292" s="3"/>
      <c r="P292" s="4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6.5" customHeight="1" x14ac:dyDescent="0.3">
      <c r="A293" s="5">
        <v>45370</v>
      </c>
      <c r="B293" s="6" t="s">
        <v>61</v>
      </c>
      <c r="C293" s="6" t="s">
        <v>78</v>
      </c>
      <c r="D293" s="7" t="s">
        <v>54</v>
      </c>
      <c r="E293" s="6" t="s">
        <v>17</v>
      </c>
      <c r="F293" s="8" t="s">
        <v>32</v>
      </c>
      <c r="G293" s="8" t="str">
        <f t="shared" si="2"/>
        <v>Design</v>
      </c>
      <c r="H293" s="8" t="s">
        <v>26</v>
      </c>
      <c r="I293" s="9">
        <v>6030</v>
      </c>
      <c r="J293" s="10">
        <v>0.4</v>
      </c>
      <c r="K293" s="11">
        <f t="shared" si="3"/>
        <v>2412</v>
      </c>
      <c r="L293" s="6" t="s">
        <v>20</v>
      </c>
      <c r="M293" s="6" t="s">
        <v>46</v>
      </c>
      <c r="N293" s="6" t="s">
        <v>22</v>
      </c>
      <c r="O293" s="3"/>
      <c r="P293" s="4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6.5" customHeight="1" x14ac:dyDescent="0.3">
      <c r="A294" s="5">
        <v>45370</v>
      </c>
      <c r="B294" s="6" t="s">
        <v>61</v>
      </c>
      <c r="C294" s="6" t="s">
        <v>78</v>
      </c>
      <c r="D294" s="7" t="s">
        <v>68</v>
      </c>
      <c r="E294" s="6" t="s">
        <v>24</v>
      </c>
      <c r="F294" s="8" t="s">
        <v>32</v>
      </c>
      <c r="G294" s="8" t="str">
        <f t="shared" si="2"/>
        <v>Design</v>
      </c>
      <c r="H294" s="8" t="s">
        <v>33</v>
      </c>
      <c r="I294" s="9">
        <v>5796</v>
      </c>
      <c r="J294" s="10">
        <v>0.4</v>
      </c>
      <c r="K294" s="11">
        <f t="shared" si="3"/>
        <v>2318.4</v>
      </c>
      <c r="L294" s="6" t="s">
        <v>27</v>
      </c>
      <c r="M294" s="6" t="s">
        <v>21</v>
      </c>
      <c r="N294" s="6" t="s">
        <v>30</v>
      </c>
      <c r="O294" s="3"/>
      <c r="P294" s="4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6.5" customHeight="1" x14ac:dyDescent="0.3">
      <c r="A295" s="5">
        <v>45370</v>
      </c>
      <c r="B295" s="6" t="s">
        <v>61</v>
      </c>
      <c r="C295" s="6" t="s">
        <v>78</v>
      </c>
      <c r="D295" s="7" t="s">
        <v>35</v>
      </c>
      <c r="E295" s="6" t="s">
        <v>24</v>
      </c>
      <c r="F295" s="8" t="s">
        <v>32</v>
      </c>
      <c r="G295" s="8" t="str">
        <f t="shared" si="2"/>
        <v>Design</v>
      </c>
      <c r="H295" s="8" t="s">
        <v>29</v>
      </c>
      <c r="I295" s="9">
        <v>3903</v>
      </c>
      <c r="J295" s="10">
        <v>0.4</v>
      </c>
      <c r="K295" s="11">
        <f t="shared" si="3"/>
        <v>1561.2</v>
      </c>
      <c r="L295" s="6" t="s">
        <v>27</v>
      </c>
      <c r="M295" s="6" t="s">
        <v>25</v>
      </c>
      <c r="N295" s="6" t="s">
        <v>30</v>
      </c>
      <c r="O295" s="3"/>
      <c r="P295" s="4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6.5" customHeight="1" x14ac:dyDescent="0.3">
      <c r="A296" s="5">
        <v>45371</v>
      </c>
      <c r="B296" s="6" t="s">
        <v>61</v>
      </c>
      <c r="C296" s="6" t="s">
        <v>78</v>
      </c>
      <c r="D296" s="7" t="s">
        <v>36</v>
      </c>
      <c r="E296" s="6" t="s">
        <v>17</v>
      </c>
      <c r="F296" s="8" t="s">
        <v>41</v>
      </c>
      <c r="G296" s="8" t="str">
        <f t="shared" si="2"/>
        <v>Copywriting</v>
      </c>
      <c r="H296" s="8" t="s">
        <v>33</v>
      </c>
      <c r="I296" s="9">
        <v>6933</v>
      </c>
      <c r="J296" s="10">
        <v>0.25</v>
      </c>
      <c r="K296" s="11">
        <f t="shared" si="3"/>
        <v>1733.25</v>
      </c>
      <c r="L296" s="6" t="s">
        <v>20</v>
      </c>
      <c r="M296" s="6" t="s">
        <v>25</v>
      </c>
      <c r="N296" s="6" t="s">
        <v>34</v>
      </c>
      <c r="O296" s="3"/>
      <c r="P296" s="4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6.5" customHeight="1" x14ac:dyDescent="0.3">
      <c r="A297" s="5">
        <v>45377</v>
      </c>
      <c r="B297" s="6" t="s">
        <v>61</v>
      </c>
      <c r="C297" s="6" t="s">
        <v>78</v>
      </c>
      <c r="D297" s="7" t="s">
        <v>54</v>
      </c>
      <c r="E297" s="6" t="s">
        <v>17</v>
      </c>
      <c r="F297" s="8" t="s">
        <v>41</v>
      </c>
      <c r="G297" s="8" t="str">
        <f t="shared" si="2"/>
        <v>Copywriting</v>
      </c>
      <c r="H297" s="8" t="s">
        <v>29</v>
      </c>
      <c r="I297" s="9">
        <v>3446</v>
      </c>
      <c r="J297" s="10">
        <v>0.25</v>
      </c>
      <c r="K297" s="11">
        <f t="shared" si="3"/>
        <v>861.5</v>
      </c>
      <c r="L297" s="6" t="s">
        <v>20</v>
      </c>
      <c r="M297" s="6" t="s">
        <v>25</v>
      </c>
      <c r="N297" s="6" t="s">
        <v>30</v>
      </c>
      <c r="O297" s="3"/>
      <c r="P297" s="4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6.5" customHeight="1" x14ac:dyDescent="0.3">
      <c r="A298" s="5">
        <v>45377</v>
      </c>
      <c r="B298" s="6" t="s">
        <v>61</v>
      </c>
      <c r="C298" s="6" t="s">
        <v>78</v>
      </c>
      <c r="D298" s="7" t="s">
        <v>60</v>
      </c>
      <c r="E298" s="6" t="s">
        <v>24</v>
      </c>
      <c r="F298" s="8" t="s">
        <v>39</v>
      </c>
      <c r="G298" s="8" t="str">
        <f t="shared" si="2"/>
        <v>Design</v>
      </c>
      <c r="H298" s="8" t="s">
        <v>29</v>
      </c>
      <c r="I298" s="9">
        <v>3227</v>
      </c>
      <c r="J298" s="10">
        <v>0.35</v>
      </c>
      <c r="K298" s="11">
        <f t="shared" si="3"/>
        <v>1129.4499999999998</v>
      </c>
      <c r="L298" s="6" t="s">
        <v>20</v>
      </c>
      <c r="M298" s="6" t="s">
        <v>46</v>
      </c>
      <c r="N298" s="6" t="s">
        <v>30</v>
      </c>
      <c r="O298" s="3"/>
      <c r="P298" s="4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6.5" customHeight="1" x14ac:dyDescent="0.3">
      <c r="A299" s="5">
        <v>45379</v>
      </c>
      <c r="B299" s="6" t="s">
        <v>61</v>
      </c>
      <c r="C299" s="6" t="s">
        <v>78</v>
      </c>
      <c r="D299" s="7" t="s">
        <v>55</v>
      </c>
      <c r="E299" s="6" t="s">
        <v>24</v>
      </c>
      <c r="F299" s="8" t="s">
        <v>39</v>
      </c>
      <c r="G299" s="8" t="str">
        <f t="shared" si="2"/>
        <v>Design</v>
      </c>
      <c r="H299" s="8" t="s">
        <v>33</v>
      </c>
      <c r="I299" s="9">
        <v>5167</v>
      </c>
      <c r="J299" s="10">
        <v>0.35</v>
      </c>
      <c r="K299" s="11">
        <f t="shared" si="3"/>
        <v>1808.4499999999998</v>
      </c>
      <c r="L299" s="6" t="s">
        <v>27</v>
      </c>
      <c r="M299" s="6" t="s">
        <v>21</v>
      </c>
      <c r="N299" s="6" t="s">
        <v>34</v>
      </c>
      <c r="O299" s="3"/>
      <c r="P299" s="4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6.5" customHeight="1" x14ac:dyDescent="0.3">
      <c r="A300" s="5">
        <v>45381</v>
      </c>
      <c r="B300" s="6" t="s">
        <v>61</v>
      </c>
      <c r="C300" s="6" t="s">
        <v>78</v>
      </c>
      <c r="D300" s="7" t="s">
        <v>66</v>
      </c>
      <c r="E300" s="6" t="s">
        <v>24</v>
      </c>
      <c r="F300" s="8" t="s">
        <v>32</v>
      </c>
      <c r="G300" s="8" t="str">
        <f t="shared" si="2"/>
        <v>Design</v>
      </c>
      <c r="H300" s="8" t="s">
        <v>26</v>
      </c>
      <c r="I300" s="9">
        <v>7081</v>
      </c>
      <c r="J300" s="10">
        <v>0.4</v>
      </c>
      <c r="K300" s="11">
        <f t="shared" si="3"/>
        <v>2832.4</v>
      </c>
      <c r="L300" s="6" t="s">
        <v>27</v>
      </c>
      <c r="M300" s="6" t="s">
        <v>21</v>
      </c>
      <c r="N300" s="6" t="s">
        <v>37</v>
      </c>
      <c r="O300" s="3"/>
      <c r="P300" s="4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6.5" customHeight="1" x14ac:dyDescent="0.3">
      <c r="A301" s="5">
        <v>45382</v>
      </c>
      <c r="B301" s="6" t="s">
        <v>61</v>
      </c>
      <c r="C301" s="6" t="s">
        <v>78</v>
      </c>
      <c r="D301" s="7" t="s">
        <v>52</v>
      </c>
      <c r="E301" s="6" t="s">
        <v>17</v>
      </c>
      <c r="F301" s="8" t="s">
        <v>39</v>
      </c>
      <c r="G301" s="8" t="str">
        <f t="shared" si="2"/>
        <v>Design</v>
      </c>
      <c r="H301" s="8" t="s">
        <v>33</v>
      </c>
      <c r="I301" s="9">
        <v>6006</v>
      </c>
      <c r="J301" s="10">
        <v>0.35</v>
      </c>
      <c r="K301" s="11">
        <f t="shared" si="3"/>
        <v>2102.1</v>
      </c>
      <c r="L301" s="6" t="s">
        <v>27</v>
      </c>
      <c r="M301" s="6" t="s">
        <v>21</v>
      </c>
      <c r="N301" s="6" t="s">
        <v>34</v>
      </c>
      <c r="O301" s="3"/>
      <c r="P301" s="4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6.5" customHeight="1" x14ac:dyDescent="0.3">
      <c r="A302" s="5">
        <v>45384</v>
      </c>
      <c r="B302" s="6" t="s">
        <v>65</v>
      </c>
      <c r="C302" s="6" t="s">
        <v>78</v>
      </c>
      <c r="D302" s="7" t="s">
        <v>57</v>
      </c>
      <c r="E302" s="6" t="s">
        <v>24</v>
      </c>
      <c r="F302" s="8" t="s">
        <v>32</v>
      </c>
      <c r="G302" s="8" t="str">
        <f t="shared" si="2"/>
        <v>Design</v>
      </c>
      <c r="H302" s="8" t="s">
        <v>33</v>
      </c>
      <c r="I302" s="9">
        <v>7023</v>
      </c>
      <c r="J302" s="10">
        <v>0.4</v>
      </c>
      <c r="K302" s="11">
        <f t="shared" si="3"/>
        <v>2809.2000000000003</v>
      </c>
      <c r="L302" s="6" t="s">
        <v>27</v>
      </c>
      <c r="M302" s="6" t="s">
        <v>21</v>
      </c>
      <c r="N302" s="6" t="s">
        <v>37</v>
      </c>
      <c r="O302" s="3"/>
      <c r="P302" s="4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6.5" customHeight="1" x14ac:dyDescent="0.3">
      <c r="A303" s="5">
        <v>45385</v>
      </c>
      <c r="B303" s="6" t="s">
        <v>65</v>
      </c>
      <c r="C303" s="6" t="s">
        <v>78</v>
      </c>
      <c r="D303" s="7" t="s">
        <v>40</v>
      </c>
      <c r="E303" s="6" t="s">
        <v>17</v>
      </c>
      <c r="F303" s="8" t="s">
        <v>18</v>
      </c>
      <c r="G303" s="8" t="str">
        <f t="shared" si="2"/>
        <v>Marketing</v>
      </c>
      <c r="H303" s="8" t="s">
        <v>33</v>
      </c>
      <c r="I303" s="9">
        <v>2871</v>
      </c>
      <c r="J303" s="10">
        <v>0.3</v>
      </c>
      <c r="K303" s="11">
        <f t="shared" si="3"/>
        <v>861.3</v>
      </c>
      <c r="L303" s="6" t="s">
        <v>20</v>
      </c>
      <c r="M303" s="6" t="s">
        <v>21</v>
      </c>
      <c r="N303" s="6" t="s">
        <v>34</v>
      </c>
      <c r="O303" s="3"/>
      <c r="P303" s="4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6.5" customHeight="1" x14ac:dyDescent="0.3">
      <c r="A304" s="5">
        <v>45385</v>
      </c>
      <c r="B304" s="6" t="s">
        <v>65</v>
      </c>
      <c r="C304" s="6" t="s">
        <v>78</v>
      </c>
      <c r="D304" s="7" t="s">
        <v>38</v>
      </c>
      <c r="E304" s="6" t="s">
        <v>24</v>
      </c>
      <c r="F304" s="8" t="s">
        <v>32</v>
      </c>
      <c r="G304" s="8" t="str">
        <f t="shared" si="2"/>
        <v>Design</v>
      </c>
      <c r="H304" s="8" t="s">
        <v>19</v>
      </c>
      <c r="I304" s="9">
        <v>6127</v>
      </c>
      <c r="J304" s="10">
        <v>0.4</v>
      </c>
      <c r="K304" s="11">
        <f t="shared" si="3"/>
        <v>2450.8000000000002</v>
      </c>
      <c r="L304" s="6" t="s">
        <v>20</v>
      </c>
      <c r="M304" s="6" t="s">
        <v>21</v>
      </c>
      <c r="N304" s="6" t="s">
        <v>37</v>
      </c>
      <c r="O304" s="3"/>
      <c r="P304" s="4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6.5" customHeight="1" x14ac:dyDescent="0.3">
      <c r="A305" s="5">
        <v>45386</v>
      </c>
      <c r="B305" s="6" t="s">
        <v>65</v>
      </c>
      <c r="C305" s="6" t="s">
        <v>78</v>
      </c>
      <c r="D305" s="7" t="s">
        <v>68</v>
      </c>
      <c r="E305" s="6" t="s">
        <v>24</v>
      </c>
      <c r="F305" s="8" t="s">
        <v>39</v>
      </c>
      <c r="G305" s="8" t="str">
        <f t="shared" si="2"/>
        <v>Design</v>
      </c>
      <c r="H305" s="8" t="s">
        <v>29</v>
      </c>
      <c r="I305" s="9">
        <v>3894</v>
      </c>
      <c r="J305" s="10">
        <v>0.35</v>
      </c>
      <c r="K305" s="11">
        <f t="shared" si="3"/>
        <v>1362.8999999999999</v>
      </c>
      <c r="L305" s="6" t="s">
        <v>27</v>
      </c>
      <c r="M305" s="6" t="s">
        <v>46</v>
      </c>
      <c r="N305" s="6" t="s">
        <v>30</v>
      </c>
      <c r="O305" s="3"/>
      <c r="P305" s="4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6.5" customHeight="1" x14ac:dyDescent="0.3">
      <c r="A306" s="5">
        <v>45389</v>
      </c>
      <c r="B306" s="6" t="s">
        <v>65</v>
      </c>
      <c r="C306" s="6" t="s">
        <v>78</v>
      </c>
      <c r="D306" s="7" t="s">
        <v>63</v>
      </c>
      <c r="E306" s="6" t="s">
        <v>17</v>
      </c>
      <c r="F306" s="8" t="s">
        <v>41</v>
      </c>
      <c r="G306" s="8" t="str">
        <f t="shared" si="2"/>
        <v>Copywriting</v>
      </c>
      <c r="H306" s="8" t="s">
        <v>29</v>
      </c>
      <c r="I306" s="9">
        <v>6449</v>
      </c>
      <c r="J306" s="10">
        <v>0.25</v>
      </c>
      <c r="K306" s="11">
        <f t="shared" si="3"/>
        <v>1612.25</v>
      </c>
      <c r="L306" s="6" t="s">
        <v>20</v>
      </c>
      <c r="M306" s="6" t="s">
        <v>21</v>
      </c>
      <c r="N306" s="6" t="s">
        <v>37</v>
      </c>
      <c r="O306" s="3"/>
      <c r="P306" s="4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6.5" customHeight="1" x14ac:dyDescent="0.3">
      <c r="A307" s="5">
        <v>45390</v>
      </c>
      <c r="B307" s="6" t="s">
        <v>65</v>
      </c>
      <c r="C307" s="6" t="s">
        <v>78</v>
      </c>
      <c r="D307" s="7" t="s">
        <v>64</v>
      </c>
      <c r="E307" s="6" t="s">
        <v>17</v>
      </c>
      <c r="F307" s="8" t="s">
        <v>32</v>
      </c>
      <c r="G307" s="8" t="str">
        <f t="shared" si="2"/>
        <v>Design</v>
      </c>
      <c r="H307" s="8" t="s">
        <v>42</v>
      </c>
      <c r="I307" s="9">
        <v>4976</v>
      </c>
      <c r="J307" s="10">
        <v>0.4</v>
      </c>
      <c r="K307" s="11">
        <f t="shared" si="3"/>
        <v>1990.4</v>
      </c>
      <c r="L307" s="6" t="s">
        <v>27</v>
      </c>
      <c r="M307" s="6" t="s">
        <v>25</v>
      </c>
      <c r="N307" s="6" t="s">
        <v>30</v>
      </c>
      <c r="O307" s="3"/>
      <c r="P307" s="4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6.5" customHeight="1" x14ac:dyDescent="0.3">
      <c r="A308" s="5">
        <v>45390</v>
      </c>
      <c r="B308" s="6" t="s">
        <v>65</v>
      </c>
      <c r="C308" s="6" t="s">
        <v>78</v>
      </c>
      <c r="D308" s="7" t="s">
        <v>36</v>
      </c>
      <c r="E308" s="6" t="s">
        <v>17</v>
      </c>
      <c r="F308" s="8" t="s">
        <v>25</v>
      </c>
      <c r="G308" s="8" t="str">
        <f t="shared" si="2"/>
        <v>Marketing</v>
      </c>
      <c r="H308" s="8" t="s">
        <v>19</v>
      </c>
      <c r="I308" s="9">
        <v>5171</v>
      </c>
      <c r="J308" s="10">
        <v>0.25</v>
      </c>
      <c r="K308" s="11">
        <f t="shared" si="3"/>
        <v>1292.75</v>
      </c>
      <c r="L308" s="6" t="s">
        <v>20</v>
      </c>
      <c r="M308" s="6" t="s">
        <v>21</v>
      </c>
      <c r="N308" s="6" t="s">
        <v>34</v>
      </c>
      <c r="O308" s="3"/>
      <c r="P308" s="4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6.5" customHeight="1" x14ac:dyDescent="0.3">
      <c r="A309" s="5">
        <v>45391</v>
      </c>
      <c r="B309" s="6" t="s">
        <v>65</v>
      </c>
      <c r="C309" s="6" t="s">
        <v>78</v>
      </c>
      <c r="D309" s="7" t="s">
        <v>66</v>
      </c>
      <c r="E309" s="6" t="s">
        <v>24</v>
      </c>
      <c r="F309" s="8" t="s">
        <v>41</v>
      </c>
      <c r="G309" s="8" t="str">
        <f t="shared" si="2"/>
        <v>Copywriting</v>
      </c>
      <c r="H309" s="8" t="s">
        <v>33</v>
      </c>
      <c r="I309" s="9">
        <v>6231</v>
      </c>
      <c r="J309" s="10">
        <v>0.25</v>
      </c>
      <c r="K309" s="11">
        <f t="shared" si="3"/>
        <v>1557.75</v>
      </c>
      <c r="L309" s="6" t="s">
        <v>20</v>
      </c>
      <c r="M309" s="6" t="s">
        <v>25</v>
      </c>
      <c r="N309" s="6" t="s">
        <v>37</v>
      </c>
      <c r="O309" s="3"/>
      <c r="P309" s="4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6.5" customHeight="1" x14ac:dyDescent="0.3">
      <c r="A310" s="5">
        <v>45392</v>
      </c>
      <c r="B310" s="6" t="s">
        <v>65</v>
      </c>
      <c r="C310" s="6" t="s">
        <v>78</v>
      </c>
      <c r="D310" s="7" t="s">
        <v>57</v>
      </c>
      <c r="E310" s="6" t="s">
        <v>24</v>
      </c>
      <c r="F310" s="8" t="s">
        <v>39</v>
      </c>
      <c r="G310" s="8" t="str">
        <f t="shared" si="2"/>
        <v>Design</v>
      </c>
      <c r="H310" s="8" t="s">
        <v>26</v>
      </c>
      <c r="I310" s="9">
        <v>4838</v>
      </c>
      <c r="J310" s="10">
        <v>0.35</v>
      </c>
      <c r="K310" s="11">
        <f t="shared" si="3"/>
        <v>1693.3</v>
      </c>
      <c r="L310" s="6" t="s">
        <v>20</v>
      </c>
      <c r="M310" s="6" t="s">
        <v>21</v>
      </c>
      <c r="N310" s="6" t="s">
        <v>34</v>
      </c>
      <c r="O310" s="3"/>
      <c r="P310" s="4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6.5" customHeight="1" x14ac:dyDescent="0.3">
      <c r="A311" s="5">
        <v>45396</v>
      </c>
      <c r="B311" s="6" t="s">
        <v>65</v>
      </c>
      <c r="C311" s="6" t="s">
        <v>78</v>
      </c>
      <c r="D311" s="7" t="s">
        <v>48</v>
      </c>
      <c r="E311" s="6" t="s">
        <v>17</v>
      </c>
      <c r="F311" s="8" t="s">
        <v>32</v>
      </c>
      <c r="G311" s="8" t="str">
        <f t="shared" si="2"/>
        <v>Design</v>
      </c>
      <c r="H311" s="8" t="s">
        <v>26</v>
      </c>
      <c r="I311" s="9">
        <v>4855</v>
      </c>
      <c r="J311" s="10">
        <v>0.4</v>
      </c>
      <c r="K311" s="11">
        <f t="shared" si="3"/>
        <v>1942</v>
      </c>
      <c r="L311" s="6" t="s">
        <v>20</v>
      </c>
      <c r="M311" s="6" t="s">
        <v>21</v>
      </c>
      <c r="N311" s="6" t="s">
        <v>22</v>
      </c>
      <c r="O311" s="3"/>
      <c r="P311" s="4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6.5" customHeight="1" x14ac:dyDescent="0.3">
      <c r="A312" s="5">
        <v>45398</v>
      </c>
      <c r="B312" s="6" t="s">
        <v>65</v>
      </c>
      <c r="C312" s="6" t="s">
        <v>78</v>
      </c>
      <c r="D312" s="7" t="s">
        <v>49</v>
      </c>
      <c r="E312" s="6" t="s">
        <v>17</v>
      </c>
      <c r="F312" s="8" t="s">
        <v>41</v>
      </c>
      <c r="G312" s="8" t="str">
        <f t="shared" si="2"/>
        <v>Copywriting</v>
      </c>
      <c r="H312" s="8" t="s">
        <v>33</v>
      </c>
      <c r="I312" s="9">
        <v>4488</v>
      </c>
      <c r="J312" s="10">
        <v>0.25</v>
      </c>
      <c r="K312" s="11">
        <f t="shared" si="3"/>
        <v>1122</v>
      </c>
      <c r="L312" s="6" t="s">
        <v>20</v>
      </c>
      <c r="M312" s="6" t="s">
        <v>46</v>
      </c>
      <c r="N312" s="6" t="s">
        <v>37</v>
      </c>
      <c r="O312" s="3"/>
      <c r="P312" s="4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6.5" customHeight="1" x14ac:dyDescent="0.3">
      <c r="A313" s="5">
        <v>45399</v>
      </c>
      <c r="B313" s="6" t="s">
        <v>65</v>
      </c>
      <c r="C313" s="6" t="s">
        <v>78</v>
      </c>
      <c r="D313" s="7" t="s">
        <v>54</v>
      </c>
      <c r="E313" s="6" t="s">
        <v>17</v>
      </c>
      <c r="F313" s="8" t="s">
        <v>39</v>
      </c>
      <c r="G313" s="8" t="str">
        <f t="shared" si="2"/>
        <v>Design</v>
      </c>
      <c r="H313" s="8" t="s">
        <v>33</v>
      </c>
      <c r="I313" s="9">
        <v>3207</v>
      </c>
      <c r="J313" s="10">
        <v>0.35</v>
      </c>
      <c r="K313" s="11">
        <f t="shared" si="3"/>
        <v>1122.4499999999998</v>
      </c>
      <c r="L313" s="6" t="s">
        <v>27</v>
      </c>
      <c r="M313" s="6" t="s">
        <v>46</v>
      </c>
      <c r="N313" s="6" t="s">
        <v>22</v>
      </c>
      <c r="O313" s="3"/>
      <c r="P313" s="4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6.5" customHeight="1" x14ac:dyDescent="0.3">
      <c r="A314" s="5">
        <v>45401</v>
      </c>
      <c r="B314" s="6" t="s">
        <v>65</v>
      </c>
      <c r="C314" s="6" t="s">
        <v>78</v>
      </c>
      <c r="D314" s="7" t="s">
        <v>56</v>
      </c>
      <c r="E314" s="6" t="s">
        <v>17</v>
      </c>
      <c r="F314" s="8" t="s">
        <v>25</v>
      </c>
      <c r="G314" s="8" t="str">
        <f t="shared" si="2"/>
        <v>Marketing</v>
      </c>
      <c r="H314" s="8" t="s">
        <v>19</v>
      </c>
      <c r="I314" s="9">
        <v>5536</v>
      </c>
      <c r="J314" s="10">
        <v>0.25</v>
      </c>
      <c r="K314" s="11">
        <f t="shared" si="3"/>
        <v>1384</v>
      </c>
      <c r="L314" s="6" t="s">
        <v>27</v>
      </c>
      <c r="M314" s="6" t="s">
        <v>21</v>
      </c>
      <c r="N314" s="6" t="s">
        <v>30</v>
      </c>
      <c r="O314" s="3"/>
      <c r="P314" s="4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6.5" customHeight="1" x14ac:dyDescent="0.3">
      <c r="A315" s="5">
        <v>45402</v>
      </c>
      <c r="B315" s="6" t="s">
        <v>65</v>
      </c>
      <c r="C315" s="6" t="s">
        <v>78</v>
      </c>
      <c r="D315" s="7" t="s">
        <v>38</v>
      </c>
      <c r="E315" s="6" t="s">
        <v>24</v>
      </c>
      <c r="F315" s="8" t="s">
        <v>32</v>
      </c>
      <c r="G315" s="8" t="str">
        <f t="shared" si="2"/>
        <v>Design</v>
      </c>
      <c r="H315" s="8" t="s">
        <v>29</v>
      </c>
      <c r="I315" s="9">
        <v>3567</v>
      </c>
      <c r="J315" s="10">
        <v>0.4</v>
      </c>
      <c r="K315" s="11">
        <f t="shared" si="3"/>
        <v>1426.8000000000002</v>
      </c>
      <c r="L315" s="6" t="s">
        <v>20</v>
      </c>
      <c r="M315" s="6" t="s">
        <v>46</v>
      </c>
      <c r="N315" s="6" t="s">
        <v>37</v>
      </c>
      <c r="O315" s="3"/>
      <c r="P315" s="4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6.5" customHeight="1" x14ac:dyDescent="0.3">
      <c r="A316" s="5">
        <v>45403</v>
      </c>
      <c r="B316" s="6" t="s">
        <v>65</v>
      </c>
      <c r="C316" s="6" t="s">
        <v>78</v>
      </c>
      <c r="D316" s="7" t="s">
        <v>70</v>
      </c>
      <c r="E316" s="6" t="s">
        <v>24</v>
      </c>
      <c r="F316" s="8" t="s">
        <v>18</v>
      </c>
      <c r="G316" s="8" t="str">
        <f t="shared" si="2"/>
        <v>Marketing</v>
      </c>
      <c r="H316" s="8" t="s">
        <v>29</v>
      </c>
      <c r="I316" s="9">
        <v>6891</v>
      </c>
      <c r="J316" s="10">
        <v>0.3</v>
      </c>
      <c r="K316" s="11">
        <f t="shared" si="3"/>
        <v>2067.2999999999997</v>
      </c>
      <c r="L316" s="6" t="s">
        <v>20</v>
      </c>
      <c r="M316" s="6" t="s">
        <v>46</v>
      </c>
      <c r="N316" s="6" t="s">
        <v>22</v>
      </c>
      <c r="O316" s="3"/>
      <c r="P316" s="4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6.5" customHeight="1" x14ac:dyDescent="0.3">
      <c r="A317" s="5">
        <v>45407</v>
      </c>
      <c r="B317" s="6" t="s">
        <v>65</v>
      </c>
      <c r="C317" s="6" t="s">
        <v>78</v>
      </c>
      <c r="D317" s="7" t="s">
        <v>31</v>
      </c>
      <c r="E317" s="6" t="s">
        <v>24</v>
      </c>
      <c r="F317" s="8" t="s">
        <v>39</v>
      </c>
      <c r="G317" s="8" t="str">
        <f t="shared" si="2"/>
        <v>Design</v>
      </c>
      <c r="H317" s="8" t="s">
        <v>29</v>
      </c>
      <c r="I317" s="9">
        <v>7424</v>
      </c>
      <c r="J317" s="10">
        <v>0.35</v>
      </c>
      <c r="K317" s="11">
        <f t="shared" si="3"/>
        <v>2598.3999999999996</v>
      </c>
      <c r="L317" s="6" t="s">
        <v>20</v>
      </c>
      <c r="M317" s="6" t="s">
        <v>21</v>
      </c>
      <c r="N317" s="6" t="s">
        <v>37</v>
      </c>
      <c r="O317" s="3"/>
      <c r="P317" s="4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6.5" customHeight="1" x14ac:dyDescent="0.3">
      <c r="A318" s="5">
        <v>45409</v>
      </c>
      <c r="B318" s="6" t="s">
        <v>65</v>
      </c>
      <c r="C318" s="6" t="s">
        <v>78</v>
      </c>
      <c r="D318" s="7" t="s">
        <v>23</v>
      </c>
      <c r="E318" s="6" t="s">
        <v>24</v>
      </c>
      <c r="F318" s="8" t="s">
        <v>32</v>
      </c>
      <c r="G318" s="8" t="str">
        <f t="shared" si="2"/>
        <v>Design</v>
      </c>
      <c r="H318" s="8" t="s">
        <v>19</v>
      </c>
      <c r="I318" s="9">
        <v>7390</v>
      </c>
      <c r="J318" s="10">
        <v>0.4</v>
      </c>
      <c r="K318" s="11">
        <f t="shared" si="3"/>
        <v>2956</v>
      </c>
      <c r="L318" s="6" t="s">
        <v>27</v>
      </c>
      <c r="M318" s="6" t="s">
        <v>46</v>
      </c>
      <c r="N318" s="6" t="s">
        <v>37</v>
      </c>
      <c r="O318" s="3"/>
      <c r="P318" s="4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6.5" customHeight="1" x14ac:dyDescent="0.3">
      <c r="A319" s="5">
        <v>45410</v>
      </c>
      <c r="B319" s="6" t="s">
        <v>65</v>
      </c>
      <c r="C319" s="6" t="s">
        <v>78</v>
      </c>
      <c r="D319" s="7" t="s">
        <v>56</v>
      </c>
      <c r="E319" s="6" t="s">
        <v>17</v>
      </c>
      <c r="F319" s="8" t="s">
        <v>32</v>
      </c>
      <c r="G319" s="8" t="str">
        <f t="shared" si="2"/>
        <v>Design</v>
      </c>
      <c r="H319" s="8" t="s">
        <v>26</v>
      </c>
      <c r="I319" s="9">
        <v>6058</v>
      </c>
      <c r="J319" s="10">
        <v>0.4</v>
      </c>
      <c r="K319" s="11">
        <f t="shared" si="3"/>
        <v>2423.2000000000003</v>
      </c>
      <c r="L319" s="6" t="s">
        <v>20</v>
      </c>
      <c r="M319" s="6" t="s">
        <v>21</v>
      </c>
      <c r="N319" s="6" t="s">
        <v>37</v>
      </c>
      <c r="O319" s="3"/>
      <c r="P319" s="4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6.5" customHeight="1" x14ac:dyDescent="0.3">
      <c r="A320" s="5">
        <v>45412</v>
      </c>
      <c r="B320" s="6" t="s">
        <v>65</v>
      </c>
      <c r="C320" s="6" t="s">
        <v>78</v>
      </c>
      <c r="D320" s="7" t="s">
        <v>48</v>
      </c>
      <c r="E320" s="6" t="s">
        <v>17</v>
      </c>
      <c r="F320" s="8" t="s">
        <v>39</v>
      </c>
      <c r="G320" s="8" t="str">
        <f t="shared" si="2"/>
        <v>Design</v>
      </c>
      <c r="H320" s="8" t="s">
        <v>33</v>
      </c>
      <c r="I320" s="9">
        <v>4466</v>
      </c>
      <c r="J320" s="10">
        <v>0.35</v>
      </c>
      <c r="K320" s="11">
        <f t="shared" si="3"/>
        <v>1563.1</v>
      </c>
      <c r="L320" s="6" t="s">
        <v>20</v>
      </c>
      <c r="M320" s="6" t="s">
        <v>46</v>
      </c>
      <c r="N320" s="6" t="s">
        <v>30</v>
      </c>
      <c r="O320" s="3"/>
      <c r="P320" s="4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6.5" customHeight="1" x14ac:dyDescent="0.3">
      <c r="A321" s="5">
        <v>45412</v>
      </c>
      <c r="B321" s="6" t="s">
        <v>65</v>
      </c>
      <c r="C321" s="6" t="s">
        <v>78</v>
      </c>
      <c r="D321" s="7" t="s">
        <v>58</v>
      </c>
      <c r="E321" s="6" t="s">
        <v>24</v>
      </c>
      <c r="F321" s="8" t="s">
        <v>41</v>
      </c>
      <c r="G321" s="8" t="str">
        <f t="shared" si="2"/>
        <v>Copywriting</v>
      </c>
      <c r="H321" s="8" t="s">
        <v>33</v>
      </c>
      <c r="I321" s="9">
        <v>2457</v>
      </c>
      <c r="J321" s="10">
        <v>0.25</v>
      </c>
      <c r="K321" s="11">
        <f t="shared" si="3"/>
        <v>614.25</v>
      </c>
      <c r="L321" s="6" t="s">
        <v>27</v>
      </c>
      <c r="M321" s="6" t="s">
        <v>46</v>
      </c>
      <c r="N321" s="6" t="s">
        <v>22</v>
      </c>
      <c r="O321" s="3"/>
      <c r="P321" s="4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6.5" customHeight="1" x14ac:dyDescent="0.3">
      <c r="A322" s="5">
        <v>45413</v>
      </c>
      <c r="B322" s="6" t="s">
        <v>67</v>
      </c>
      <c r="C322" s="6" t="s">
        <v>78</v>
      </c>
      <c r="D322" s="7" t="s">
        <v>52</v>
      </c>
      <c r="E322" s="6" t="s">
        <v>17</v>
      </c>
      <c r="F322" s="8" t="s">
        <v>41</v>
      </c>
      <c r="G322" s="8" t="str">
        <f t="shared" si="2"/>
        <v>Copywriting</v>
      </c>
      <c r="H322" s="8" t="s">
        <v>33</v>
      </c>
      <c r="I322" s="9">
        <v>2645</v>
      </c>
      <c r="J322" s="10">
        <v>0.25</v>
      </c>
      <c r="K322" s="11">
        <f t="shared" si="3"/>
        <v>661.25</v>
      </c>
      <c r="L322" s="6" t="s">
        <v>20</v>
      </c>
      <c r="M322" s="6" t="s">
        <v>46</v>
      </c>
      <c r="N322" s="6" t="s">
        <v>34</v>
      </c>
      <c r="O322" s="3"/>
      <c r="P322" s="4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6.5" customHeight="1" x14ac:dyDescent="0.3">
      <c r="A323" s="5">
        <v>45413</v>
      </c>
      <c r="B323" s="6" t="s">
        <v>67</v>
      </c>
      <c r="C323" s="6" t="s">
        <v>78</v>
      </c>
      <c r="D323" s="7" t="s">
        <v>44</v>
      </c>
      <c r="E323" s="6" t="s">
        <v>24</v>
      </c>
      <c r="F323" s="8" t="s">
        <v>39</v>
      </c>
      <c r="G323" s="8" t="str">
        <f t="shared" si="2"/>
        <v>Design</v>
      </c>
      <c r="H323" s="8" t="s">
        <v>19</v>
      </c>
      <c r="I323" s="9">
        <v>7168</v>
      </c>
      <c r="J323" s="10">
        <v>0.35</v>
      </c>
      <c r="K323" s="11">
        <f t="shared" si="3"/>
        <v>2508.7999999999997</v>
      </c>
      <c r="L323" s="6" t="s">
        <v>20</v>
      </c>
      <c r="M323" s="6" t="s">
        <v>46</v>
      </c>
      <c r="N323" s="6" t="s">
        <v>37</v>
      </c>
      <c r="O323" s="3"/>
      <c r="P323" s="4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6.5" customHeight="1" x14ac:dyDescent="0.3">
      <c r="A324" s="5">
        <v>45414</v>
      </c>
      <c r="B324" s="6" t="s">
        <v>67</v>
      </c>
      <c r="C324" s="6" t="s">
        <v>78</v>
      </c>
      <c r="D324" s="7" t="s">
        <v>38</v>
      </c>
      <c r="E324" s="6" t="s">
        <v>24</v>
      </c>
      <c r="F324" s="8" t="s">
        <v>25</v>
      </c>
      <c r="G324" s="8" t="str">
        <f t="shared" si="2"/>
        <v>Marketing</v>
      </c>
      <c r="H324" s="8" t="s">
        <v>42</v>
      </c>
      <c r="I324" s="9">
        <v>3643</v>
      </c>
      <c r="J324" s="10">
        <v>0.25</v>
      </c>
      <c r="K324" s="11">
        <f t="shared" si="3"/>
        <v>910.75</v>
      </c>
      <c r="L324" s="6" t="s">
        <v>20</v>
      </c>
      <c r="M324" s="6" t="s">
        <v>21</v>
      </c>
      <c r="N324" s="6" t="s">
        <v>22</v>
      </c>
      <c r="O324" s="3"/>
      <c r="P324" s="4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6.5" customHeight="1" x14ac:dyDescent="0.3">
      <c r="A325" s="5">
        <v>45415</v>
      </c>
      <c r="B325" s="6" t="s">
        <v>67</v>
      </c>
      <c r="C325" s="6" t="s">
        <v>78</v>
      </c>
      <c r="D325" s="7" t="s">
        <v>52</v>
      </c>
      <c r="E325" s="6" t="s">
        <v>17</v>
      </c>
      <c r="F325" s="8" t="s">
        <v>41</v>
      </c>
      <c r="G325" s="8" t="str">
        <f t="shared" si="2"/>
        <v>Copywriting</v>
      </c>
      <c r="H325" s="8" t="s">
        <v>29</v>
      </c>
      <c r="I325" s="9">
        <v>7166</v>
      </c>
      <c r="J325" s="10">
        <v>0.25</v>
      </c>
      <c r="K325" s="11">
        <f t="shared" si="3"/>
        <v>1791.5</v>
      </c>
      <c r="L325" s="6" t="s">
        <v>20</v>
      </c>
      <c r="M325" s="6" t="s">
        <v>46</v>
      </c>
      <c r="N325" s="6" t="s">
        <v>22</v>
      </c>
      <c r="O325" s="3"/>
      <c r="P325" s="4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6.5" customHeight="1" x14ac:dyDescent="0.3">
      <c r="A326" s="5">
        <v>45415</v>
      </c>
      <c r="B326" s="6" t="s">
        <v>67</v>
      </c>
      <c r="C326" s="6" t="s">
        <v>78</v>
      </c>
      <c r="D326" s="7" t="s">
        <v>59</v>
      </c>
      <c r="E326" s="6" t="s">
        <v>24</v>
      </c>
      <c r="F326" s="8" t="s">
        <v>39</v>
      </c>
      <c r="G326" s="8" t="str">
        <f t="shared" si="2"/>
        <v>Design</v>
      </c>
      <c r="H326" s="8" t="s">
        <v>19</v>
      </c>
      <c r="I326" s="9">
        <v>5324</v>
      </c>
      <c r="J326" s="10">
        <v>0.35</v>
      </c>
      <c r="K326" s="11">
        <f t="shared" si="3"/>
        <v>1863.3999999999999</v>
      </c>
      <c r="L326" s="6" t="s">
        <v>27</v>
      </c>
      <c r="M326" s="6" t="s">
        <v>46</v>
      </c>
      <c r="N326" s="6" t="s">
        <v>30</v>
      </c>
      <c r="O326" s="3"/>
      <c r="P326" s="4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6.5" customHeight="1" x14ac:dyDescent="0.3">
      <c r="A327" s="5">
        <v>45416</v>
      </c>
      <c r="B327" s="6" t="s">
        <v>67</v>
      </c>
      <c r="C327" s="6" t="s">
        <v>78</v>
      </c>
      <c r="D327" s="7" t="s">
        <v>63</v>
      </c>
      <c r="E327" s="6" t="s">
        <v>17</v>
      </c>
      <c r="F327" s="8" t="s">
        <v>25</v>
      </c>
      <c r="G327" s="8" t="str">
        <f t="shared" si="2"/>
        <v>Marketing</v>
      </c>
      <c r="H327" s="8" t="s">
        <v>33</v>
      </c>
      <c r="I327" s="9">
        <v>5233</v>
      </c>
      <c r="J327" s="10">
        <v>0.25</v>
      </c>
      <c r="K327" s="11">
        <f t="shared" si="3"/>
        <v>1308.25</v>
      </c>
      <c r="L327" s="6" t="s">
        <v>20</v>
      </c>
      <c r="M327" s="6" t="s">
        <v>21</v>
      </c>
      <c r="N327" s="6" t="s">
        <v>34</v>
      </c>
      <c r="O327" s="3"/>
      <c r="P327" s="4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6.5" customHeight="1" x14ac:dyDescent="0.3">
      <c r="A328" s="5">
        <v>45419</v>
      </c>
      <c r="B328" s="6" t="s">
        <v>67</v>
      </c>
      <c r="C328" s="6" t="s">
        <v>78</v>
      </c>
      <c r="D328" s="7" t="s">
        <v>28</v>
      </c>
      <c r="E328" s="6" t="s">
        <v>24</v>
      </c>
      <c r="F328" s="8" t="s">
        <v>41</v>
      </c>
      <c r="G328" s="8" t="str">
        <f t="shared" si="2"/>
        <v>Copywriting</v>
      </c>
      <c r="H328" s="8" t="s">
        <v>26</v>
      </c>
      <c r="I328" s="9">
        <v>5064</v>
      </c>
      <c r="J328" s="10">
        <v>0.25</v>
      </c>
      <c r="K328" s="11">
        <f t="shared" si="3"/>
        <v>1266</v>
      </c>
      <c r="L328" s="6" t="s">
        <v>27</v>
      </c>
      <c r="M328" s="6" t="s">
        <v>21</v>
      </c>
      <c r="N328" s="6" t="s">
        <v>37</v>
      </c>
      <c r="O328" s="3"/>
      <c r="P328" s="4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6.5" customHeight="1" x14ac:dyDescent="0.3">
      <c r="A329" s="5">
        <v>45421</v>
      </c>
      <c r="B329" s="6" t="s">
        <v>67</v>
      </c>
      <c r="C329" s="6" t="s">
        <v>78</v>
      </c>
      <c r="D329" s="7" t="s">
        <v>36</v>
      </c>
      <c r="E329" s="6" t="s">
        <v>17</v>
      </c>
      <c r="F329" s="8" t="s">
        <v>39</v>
      </c>
      <c r="G329" s="8" t="str">
        <f t="shared" si="2"/>
        <v>Design</v>
      </c>
      <c r="H329" s="8" t="s">
        <v>33</v>
      </c>
      <c r="I329" s="9">
        <v>7419</v>
      </c>
      <c r="J329" s="10">
        <v>0.35</v>
      </c>
      <c r="K329" s="11">
        <f t="shared" si="3"/>
        <v>2596.6499999999996</v>
      </c>
      <c r="L329" s="6" t="s">
        <v>20</v>
      </c>
      <c r="M329" s="6" t="s">
        <v>25</v>
      </c>
      <c r="N329" s="6" t="s">
        <v>22</v>
      </c>
      <c r="O329" s="3"/>
      <c r="P329" s="4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6.5" customHeight="1" x14ac:dyDescent="0.3">
      <c r="A330" s="5">
        <v>45426</v>
      </c>
      <c r="B330" s="6" t="s">
        <v>67</v>
      </c>
      <c r="C330" s="6" t="s">
        <v>78</v>
      </c>
      <c r="D330" s="7" t="s">
        <v>40</v>
      </c>
      <c r="E330" s="6" t="s">
        <v>17</v>
      </c>
      <c r="F330" s="8" t="s">
        <v>32</v>
      </c>
      <c r="G330" s="8" t="str">
        <f t="shared" si="2"/>
        <v>Design</v>
      </c>
      <c r="H330" s="8" t="s">
        <v>29</v>
      </c>
      <c r="I330" s="9">
        <v>5511</v>
      </c>
      <c r="J330" s="10">
        <v>0.4</v>
      </c>
      <c r="K330" s="11">
        <f t="shared" si="3"/>
        <v>2204.4</v>
      </c>
      <c r="L330" s="6" t="s">
        <v>20</v>
      </c>
      <c r="M330" s="6" t="s">
        <v>46</v>
      </c>
      <c r="N330" s="6" t="s">
        <v>22</v>
      </c>
      <c r="O330" s="3"/>
      <c r="P330" s="4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6.5" customHeight="1" x14ac:dyDescent="0.3">
      <c r="A331" s="5">
        <v>45426</v>
      </c>
      <c r="B331" s="6" t="s">
        <v>67</v>
      </c>
      <c r="C331" s="6" t="s">
        <v>78</v>
      </c>
      <c r="D331" s="7" t="s">
        <v>70</v>
      </c>
      <c r="E331" s="6" t="s">
        <v>24</v>
      </c>
      <c r="F331" s="8" t="s">
        <v>18</v>
      </c>
      <c r="G331" s="8" t="str">
        <f t="shared" si="2"/>
        <v>Marketing</v>
      </c>
      <c r="H331" s="8" t="s">
        <v>29</v>
      </c>
      <c r="I331" s="9">
        <v>3786</v>
      </c>
      <c r="J331" s="10">
        <v>0.3</v>
      </c>
      <c r="K331" s="11">
        <f t="shared" si="3"/>
        <v>1135.8</v>
      </c>
      <c r="L331" s="6" t="s">
        <v>20</v>
      </c>
      <c r="M331" s="6" t="s">
        <v>46</v>
      </c>
      <c r="N331" s="6" t="s">
        <v>22</v>
      </c>
      <c r="O331" s="3"/>
      <c r="P331" s="4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6.5" customHeight="1" x14ac:dyDescent="0.3">
      <c r="A332" s="5">
        <v>45426</v>
      </c>
      <c r="B332" s="6" t="s">
        <v>67</v>
      </c>
      <c r="C332" s="6" t="s">
        <v>78</v>
      </c>
      <c r="D332" s="7" t="s">
        <v>44</v>
      </c>
      <c r="E332" s="6" t="s">
        <v>24</v>
      </c>
      <c r="F332" s="8" t="s">
        <v>32</v>
      </c>
      <c r="G332" s="8" t="str">
        <f t="shared" si="2"/>
        <v>Design</v>
      </c>
      <c r="H332" s="8" t="s">
        <v>33</v>
      </c>
      <c r="I332" s="9">
        <v>3218</v>
      </c>
      <c r="J332" s="10">
        <v>0.4</v>
      </c>
      <c r="K332" s="11">
        <f t="shared" si="3"/>
        <v>1287.2</v>
      </c>
      <c r="L332" s="6" t="s">
        <v>20</v>
      </c>
      <c r="M332" s="6" t="s">
        <v>21</v>
      </c>
      <c r="N332" s="6" t="s">
        <v>37</v>
      </c>
      <c r="O332" s="3"/>
      <c r="P332" s="4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6.5" customHeight="1" x14ac:dyDescent="0.3">
      <c r="A333" s="5">
        <v>45426</v>
      </c>
      <c r="B333" s="6" t="s">
        <v>67</v>
      </c>
      <c r="C333" s="6" t="s">
        <v>78</v>
      </c>
      <c r="D333" s="7" t="s">
        <v>51</v>
      </c>
      <c r="E333" s="6" t="s">
        <v>24</v>
      </c>
      <c r="F333" s="8" t="s">
        <v>18</v>
      </c>
      <c r="G333" s="8" t="str">
        <f t="shared" si="2"/>
        <v>Marketing</v>
      </c>
      <c r="H333" s="8" t="s">
        <v>26</v>
      </c>
      <c r="I333" s="9">
        <v>3555</v>
      </c>
      <c r="J333" s="10">
        <v>0.3</v>
      </c>
      <c r="K333" s="11">
        <f t="shared" si="3"/>
        <v>1066.5</v>
      </c>
      <c r="L333" s="6" t="s">
        <v>27</v>
      </c>
      <c r="M333" s="6" t="s">
        <v>46</v>
      </c>
      <c r="N333" s="6" t="s">
        <v>22</v>
      </c>
      <c r="O333" s="3"/>
      <c r="P333" s="4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6.5" customHeight="1" x14ac:dyDescent="0.3">
      <c r="A334" s="5">
        <v>45427</v>
      </c>
      <c r="B334" s="6" t="s">
        <v>67</v>
      </c>
      <c r="C334" s="6" t="s">
        <v>78</v>
      </c>
      <c r="D334" s="7" t="s">
        <v>64</v>
      </c>
      <c r="E334" s="6" t="s">
        <v>17</v>
      </c>
      <c r="F334" s="8" t="s">
        <v>32</v>
      </c>
      <c r="G334" s="8" t="str">
        <f t="shared" si="2"/>
        <v>Design</v>
      </c>
      <c r="H334" s="8" t="s">
        <v>29</v>
      </c>
      <c r="I334" s="9">
        <v>4229</v>
      </c>
      <c r="J334" s="10">
        <v>0.4</v>
      </c>
      <c r="K334" s="11">
        <f t="shared" si="3"/>
        <v>1691.6000000000001</v>
      </c>
      <c r="L334" s="6" t="s">
        <v>20</v>
      </c>
      <c r="M334" s="6" t="s">
        <v>21</v>
      </c>
      <c r="N334" s="6" t="s">
        <v>22</v>
      </c>
      <c r="O334" s="3"/>
      <c r="P334" s="4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6.5" customHeight="1" x14ac:dyDescent="0.3">
      <c r="A335" s="5">
        <v>45430</v>
      </c>
      <c r="B335" s="6" t="s">
        <v>67</v>
      </c>
      <c r="C335" s="6" t="s">
        <v>78</v>
      </c>
      <c r="D335" s="7" t="s">
        <v>52</v>
      </c>
      <c r="E335" s="6" t="s">
        <v>17</v>
      </c>
      <c r="F335" s="8" t="s">
        <v>25</v>
      </c>
      <c r="G335" s="8" t="str">
        <f t="shared" si="2"/>
        <v>Marketing</v>
      </c>
      <c r="H335" s="8" t="s">
        <v>19</v>
      </c>
      <c r="I335" s="9">
        <v>6036</v>
      </c>
      <c r="J335" s="10">
        <v>0.25</v>
      </c>
      <c r="K335" s="11">
        <f t="shared" si="3"/>
        <v>1509</v>
      </c>
      <c r="L335" s="6" t="s">
        <v>27</v>
      </c>
      <c r="M335" s="6" t="s">
        <v>25</v>
      </c>
      <c r="N335" s="6" t="s">
        <v>22</v>
      </c>
      <c r="O335" s="3"/>
      <c r="P335" s="4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6.5" customHeight="1" x14ac:dyDescent="0.3">
      <c r="A336" s="5">
        <v>45432</v>
      </c>
      <c r="B336" s="6" t="s">
        <v>67</v>
      </c>
      <c r="C336" s="6" t="s">
        <v>78</v>
      </c>
      <c r="D336" s="7" t="s">
        <v>40</v>
      </c>
      <c r="E336" s="6" t="s">
        <v>17</v>
      </c>
      <c r="F336" s="8" t="s">
        <v>25</v>
      </c>
      <c r="G336" s="8" t="str">
        <f t="shared" si="2"/>
        <v>Marketing</v>
      </c>
      <c r="H336" s="8" t="s">
        <v>29</v>
      </c>
      <c r="I336" s="9">
        <v>3015</v>
      </c>
      <c r="J336" s="10">
        <v>0.25</v>
      </c>
      <c r="K336" s="11">
        <f t="shared" si="3"/>
        <v>753.75</v>
      </c>
      <c r="L336" s="6" t="s">
        <v>20</v>
      </c>
      <c r="M336" s="6" t="s">
        <v>46</v>
      </c>
      <c r="N336" s="6" t="s">
        <v>37</v>
      </c>
      <c r="O336" s="3"/>
      <c r="P336" s="4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6.5" customHeight="1" x14ac:dyDescent="0.3">
      <c r="A337" s="5">
        <v>45432</v>
      </c>
      <c r="B337" s="6" t="s">
        <v>67</v>
      </c>
      <c r="C337" s="6" t="s">
        <v>78</v>
      </c>
      <c r="D337" s="7" t="s">
        <v>59</v>
      </c>
      <c r="E337" s="6" t="s">
        <v>24</v>
      </c>
      <c r="F337" s="8" t="s">
        <v>18</v>
      </c>
      <c r="G337" s="8" t="str">
        <f t="shared" si="2"/>
        <v>Marketing</v>
      </c>
      <c r="H337" s="8" t="s">
        <v>26</v>
      </c>
      <c r="I337" s="9">
        <v>2982</v>
      </c>
      <c r="J337" s="10">
        <v>0.3</v>
      </c>
      <c r="K337" s="11">
        <f t="shared" si="3"/>
        <v>894.6</v>
      </c>
      <c r="L337" s="6" t="s">
        <v>20</v>
      </c>
      <c r="M337" s="6" t="s">
        <v>25</v>
      </c>
      <c r="N337" s="6" t="s">
        <v>34</v>
      </c>
      <c r="O337" s="3"/>
      <c r="P337" s="4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6.5" customHeight="1" x14ac:dyDescent="0.3">
      <c r="A338" s="5">
        <v>45434</v>
      </c>
      <c r="B338" s="6" t="s">
        <v>67</v>
      </c>
      <c r="C338" s="6" t="s">
        <v>78</v>
      </c>
      <c r="D338" s="7" t="s">
        <v>16</v>
      </c>
      <c r="E338" s="6" t="s">
        <v>17</v>
      </c>
      <c r="F338" s="8" t="s">
        <v>41</v>
      </c>
      <c r="G338" s="8" t="str">
        <f t="shared" si="2"/>
        <v>Copywriting</v>
      </c>
      <c r="H338" s="8" t="s">
        <v>26</v>
      </c>
      <c r="I338" s="9">
        <v>4222</v>
      </c>
      <c r="J338" s="10">
        <v>0.25</v>
      </c>
      <c r="K338" s="11">
        <f t="shared" si="3"/>
        <v>1055.5</v>
      </c>
      <c r="L338" s="6" t="s">
        <v>20</v>
      </c>
      <c r="M338" s="6" t="s">
        <v>25</v>
      </c>
      <c r="N338" s="6" t="s">
        <v>34</v>
      </c>
      <c r="O338" s="3"/>
      <c r="P338" s="4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6.5" customHeight="1" x14ac:dyDescent="0.3">
      <c r="A339" s="5">
        <v>45435</v>
      </c>
      <c r="B339" s="6" t="s">
        <v>67</v>
      </c>
      <c r="C339" s="6" t="s">
        <v>78</v>
      </c>
      <c r="D339" s="7" t="s">
        <v>47</v>
      </c>
      <c r="E339" s="6" t="s">
        <v>24</v>
      </c>
      <c r="F339" s="8" t="s">
        <v>18</v>
      </c>
      <c r="G339" s="8" t="str">
        <f t="shared" si="2"/>
        <v>Marketing</v>
      </c>
      <c r="H339" s="8" t="s">
        <v>26</v>
      </c>
      <c r="I339" s="9">
        <v>3040</v>
      </c>
      <c r="J339" s="10">
        <v>0.3</v>
      </c>
      <c r="K339" s="11">
        <f t="shared" si="3"/>
        <v>912</v>
      </c>
      <c r="L339" s="6" t="s">
        <v>20</v>
      </c>
      <c r="M339" s="6" t="s">
        <v>25</v>
      </c>
      <c r="N339" s="6" t="s">
        <v>37</v>
      </c>
      <c r="O339" s="3"/>
      <c r="P339" s="4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6.5" customHeight="1" x14ac:dyDescent="0.3">
      <c r="A340" s="5">
        <v>45438</v>
      </c>
      <c r="B340" s="6" t="s">
        <v>67</v>
      </c>
      <c r="C340" s="6" t="s">
        <v>78</v>
      </c>
      <c r="D340" s="7" t="s">
        <v>54</v>
      </c>
      <c r="E340" s="6" t="s">
        <v>17</v>
      </c>
      <c r="F340" s="8" t="s">
        <v>41</v>
      </c>
      <c r="G340" s="8" t="str">
        <f t="shared" si="2"/>
        <v>Copywriting</v>
      </c>
      <c r="H340" s="8" t="s">
        <v>29</v>
      </c>
      <c r="I340" s="9">
        <v>6408</v>
      </c>
      <c r="J340" s="10">
        <v>0.25</v>
      </c>
      <c r="K340" s="11">
        <f t="shared" si="3"/>
        <v>1602</v>
      </c>
      <c r="L340" s="6" t="s">
        <v>20</v>
      </c>
      <c r="M340" s="6" t="s">
        <v>46</v>
      </c>
      <c r="N340" s="6" t="s">
        <v>22</v>
      </c>
      <c r="O340" s="3"/>
      <c r="P340" s="4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6.5" customHeight="1" x14ac:dyDescent="0.3">
      <c r="A341" s="5">
        <v>45439</v>
      </c>
      <c r="B341" s="6" t="s">
        <v>67</v>
      </c>
      <c r="C341" s="6" t="s">
        <v>78</v>
      </c>
      <c r="D341" s="7" t="s">
        <v>60</v>
      </c>
      <c r="E341" s="6" t="s">
        <v>24</v>
      </c>
      <c r="F341" s="8" t="s">
        <v>25</v>
      </c>
      <c r="G341" s="8" t="str">
        <f t="shared" si="2"/>
        <v>Marketing</v>
      </c>
      <c r="H341" s="8" t="s">
        <v>29</v>
      </c>
      <c r="I341" s="9">
        <v>6982</v>
      </c>
      <c r="J341" s="10">
        <v>0.25</v>
      </c>
      <c r="K341" s="11">
        <f t="shared" si="3"/>
        <v>1745.5</v>
      </c>
      <c r="L341" s="6" t="s">
        <v>20</v>
      </c>
      <c r="M341" s="6" t="s">
        <v>46</v>
      </c>
      <c r="N341" s="6" t="s">
        <v>22</v>
      </c>
      <c r="O341" s="3"/>
      <c r="P341" s="4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6.5" customHeight="1" x14ac:dyDescent="0.3">
      <c r="A342" s="5">
        <v>45449</v>
      </c>
      <c r="B342" s="6" t="s">
        <v>69</v>
      </c>
      <c r="C342" s="6" t="s">
        <v>78</v>
      </c>
      <c r="D342" s="7" t="s">
        <v>43</v>
      </c>
      <c r="E342" s="6" t="s">
        <v>24</v>
      </c>
      <c r="F342" s="8" t="s">
        <v>41</v>
      </c>
      <c r="G342" s="8" t="str">
        <f t="shared" si="2"/>
        <v>Copywriting</v>
      </c>
      <c r="H342" s="8" t="s">
        <v>26</v>
      </c>
      <c r="I342" s="9">
        <v>5225</v>
      </c>
      <c r="J342" s="10">
        <v>0.25</v>
      </c>
      <c r="K342" s="11">
        <f t="shared" si="3"/>
        <v>1306.25</v>
      </c>
      <c r="L342" s="6" t="s">
        <v>20</v>
      </c>
      <c r="M342" s="6" t="s">
        <v>21</v>
      </c>
      <c r="N342" s="6" t="s">
        <v>22</v>
      </c>
      <c r="O342" s="3"/>
      <c r="P342" s="4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6.5" customHeight="1" x14ac:dyDescent="0.3">
      <c r="A343" s="5">
        <v>45449</v>
      </c>
      <c r="B343" s="6" t="s">
        <v>69</v>
      </c>
      <c r="C343" s="6" t="s">
        <v>78</v>
      </c>
      <c r="D343" s="7" t="s">
        <v>79</v>
      </c>
      <c r="E343" s="6" t="s">
        <v>24</v>
      </c>
      <c r="F343" s="8" t="s">
        <v>32</v>
      </c>
      <c r="G343" s="8" t="str">
        <f t="shared" si="2"/>
        <v>Design</v>
      </c>
      <c r="H343" s="8" t="s">
        <v>42</v>
      </c>
      <c r="I343" s="9">
        <v>6679</v>
      </c>
      <c r="J343" s="10">
        <v>0.4</v>
      </c>
      <c r="K343" s="11">
        <f t="shared" si="3"/>
        <v>2671.6000000000004</v>
      </c>
      <c r="L343" s="6" t="s">
        <v>27</v>
      </c>
      <c r="M343" s="6" t="s">
        <v>21</v>
      </c>
      <c r="N343" s="6" t="s">
        <v>34</v>
      </c>
      <c r="O343" s="3"/>
      <c r="P343" s="4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6.5" customHeight="1" x14ac:dyDescent="0.3">
      <c r="A344" s="5">
        <v>45451</v>
      </c>
      <c r="B344" s="6" t="s">
        <v>69</v>
      </c>
      <c r="C344" s="6" t="s">
        <v>78</v>
      </c>
      <c r="D344" s="7" t="s">
        <v>40</v>
      </c>
      <c r="E344" s="6" t="s">
        <v>17</v>
      </c>
      <c r="F344" s="8" t="s">
        <v>18</v>
      </c>
      <c r="G344" s="8" t="str">
        <f t="shared" si="2"/>
        <v>Marketing</v>
      </c>
      <c r="H344" s="8" t="s">
        <v>29</v>
      </c>
      <c r="I344" s="9">
        <v>6683</v>
      </c>
      <c r="J344" s="10">
        <v>0.3</v>
      </c>
      <c r="K344" s="11">
        <f t="shared" si="3"/>
        <v>2004.8999999999999</v>
      </c>
      <c r="L344" s="6" t="s">
        <v>27</v>
      </c>
      <c r="M344" s="6" t="s">
        <v>25</v>
      </c>
      <c r="N344" s="6" t="s">
        <v>22</v>
      </c>
      <c r="O344" s="3"/>
      <c r="P344" s="4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6.5" customHeight="1" x14ac:dyDescent="0.3">
      <c r="A345" s="5">
        <v>45452</v>
      </c>
      <c r="B345" s="6" t="s">
        <v>69</v>
      </c>
      <c r="C345" s="6" t="s">
        <v>78</v>
      </c>
      <c r="D345" s="7" t="s">
        <v>60</v>
      </c>
      <c r="E345" s="6" t="s">
        <v>24</v>
      </c>
      <c r="F345" s="8" t="s">
        <v>41</v>
      </c>
      <c r="G345" s="8" t="str">
        <f t="shared" si="2"/>
        <v>Copywriting</v>
      </c>
      <c r="H345" s="8" t="s">
        <v>29</v>
      </c>
      <c r="I345" s="9">
        <v>7372</v>
      </c>
      <c r="J345" s="10">
        <v>0.25</v>
      </c>
      <c r="K345" s="11">
        <f t="shared" si="3"/>
        <v>1843</v>
      </c>
      <c r="L345" s="6" t="s">
        <v>20</v>
      </c>
      <c r="M345" s="6" t="s">
        <v>25</v>
      </c>
      <c r="N345" s="6" t="s">
        <v>37</v>
      </c>
      <c r="O345" s="3"/>
      <c r="P345" s="4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6.5" customHeight="1" x14ac:dyDescent="0.3">
      <c r="A346" s="5">
        <v>45455</v>
      </c>
      <c r="B346" s="6" t="s">
        <v>69</v>
      </c>
      <c r="C346" s="6" t="s">
        <v>78</v>
      </c>
      <c r="D346" s="7" t="s">
        <v>56</v>
      </c>
      <c r="E346" s="6" t="s">
        <v>17</v>
      </c>
      <c r="F346" s="8" t="s">
        <v>18</v>
      </c>
      <c r="G346" s="8" t="str">
        <f t="shared" si="2"/>
        <v>Marketing</v>
      </c>
      <c r="H346" s="8" t="s">
        <v>29</v>
      </c>
      <c r="I346" s="9">
        <v>6231</v>
      </c>
      <c r="J346" s="10">
        <v>0.3</v>
      </c>
      <c r="K346" s="11">
        <f t="shared" si="3"/>
        <v>1869.3</v>
      </c>
      <c r="L346" s="6" t="s">
        <v>20</v>
      </c>
      <c r="M346" s="6" t="s">
        <v>25</v>
      </c>
      <c r="N346" s="6" t="s">
        <v>37</v>
      </c>
      <c r="O346" s="3"/>
      <c r="P346" s="4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6.5" customHeight="1" x14ac:dyDescent="0.3">
      <c r="A347" s="5">
        <v>45456</v>
      </c>
      <c r="B347" s="6" t="s">
        <v>69</v>
      </c>
      <c r="C347" s="6" t="s">
        <v>78</v>
      </c>
      <c r="D347" s="7" t="s">
        <v>47</v>
      </c>
      <c r="E347" s="6" t="s">
        <v>24</v>
      </c>
      <c r="F347" s="8" t="s">
        <v>39</v>
      </c>
      <c r="G347" s="8" t="str">
        <f t="shared" si="2"/>
        <v>Design</v>
      </c>
      <c r="H347" s="8" t="s">
        <v>29</v>
      </c>
      <c r="I347" s="9">
        <v>2977</v>
      </c>
      <c r="J347" s="10">
        <v>0.35</v>
      </c>
      <c r="K347" s="11">
        <f t="shared" si="3"/>
        <v>1041.95</v>
      </c>
      <c r="L347" s="6" t="s">
        <v>20</v>
      </c>
      <c r="M347" s="6" t="s">
        <v>21</v>
      </c>
      <c r="N347" s="6" t="s">
        <v>30</v>
      </c>
      <c r="O347" s="3"/>
      <c r="P347" s="4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6.5" customHeight="1" x14ac:dyDescent="0.3">
      <c r="A348" s="5">
        <v>45460</v>
      </c>
      <c r="B348" s="6" t="s">
        <v>69</v>
      </c>
      <c r="C348" s="6" t="s">
        <v>78</v>
      </c>
      <c r="D348" s="7" t="s">
        <v>49</v>
      </c>
      <c r="E348" s="6" t="s">
        <v>17</v>
      </c>
      <c r="F348" s="8" t="s">
        <v>25</v>
      </c>
      <c r="G348" s="8" t="str">
        <f t="shared" si="2"/>
        <v>Marketing</v>
      </c>
      <c r="H348" s="8" t="s">
        <v>42</v>
      </c>
      <c r="I348" s="9">
        <v>4253</v>
      </c>
      <c r="J348" s="10">
        <v>0.25</v>
      </c>
      <c r="K348" s="11">
        <f t="shared" si="3"/>
        <v>1063.25</v>
      </c>
      <c r="L348" s="6" t="s">
        <v>27</v>
      </c>
      <c r="M348" s="6" t="s">
        <v>46</v>
      </c>
      <c r="N348" s="6" t="s">
        <v>22</v>
      </c>
      <c r="O348" s="3"/>
      <c r="P348" s="4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6.5" customHeight="1" x14ac:dyDescent="0.3">
      <c r="A349" s="5">
        <v>45461</v>
      </c>
      <c r="B349" s="6" t="s">
        <v>69</v>
      </c>
      <c r="C349" s="6" t="s">
        <v>78</v>
      </c>
      <c r="D349" s="7" t="s">
        <v>56</v>
      </c>
      <c r="E349" s="6" t="s">
        <v>17</v>
      </c>
      <c r="F349" s="8" t="s">
        <v>41</v>
      </c>
      <c r="G349" s="8" t="str">
        <f t="shared" si="2"/>
        <v>Copywriting</v>
      </c>
      <c r="H349" s="8" t="s">
        <v>33</v>
      </c>
      <c r="I349" s="9">
        <v>4957</v>
      </c>
      <c r="J349" s="10">
        <v>0.25</v>
      </c>
      <c r="K349" s="11">
        <f t="shared" si="3"/>
        <v>1239.25</v>
      </c>
      <c r="L349" s="6" t="s">
        <v>20</v>
      </c>
      <c r="M349" s="6" t="s">
        <v>25</v>
      </c>
      <c r="N349" s="6" t="s">
        <v>22</v>
      </c>
      <c r="O349" s="3"/>
      <c r="P349" s="4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6.5" customHeight="1" x14ac:dyDescent="0.3">
      <c r="A350" s="5">
        <v>45462</v>
      </c>
      <c r="B350" s="6" t="s">
        <v>69</v>
      </c>
      <c r="C350" s="6" t="s">
        <v>78</v>
      </c>
      <c r="D350" s="7" t="s">
        <v>63</v>
      </c>
      <c r="E350" s="6" t="s">
        <v>17</v>
      </c>
      <c r="F350" s="8" t="s">
        <v>25</v>
      </c>
      <c r="G350" s="8" t="str">
        <f t="shared" si="2"/>
        <v>Marketing</v>
      </c>
      <c r="H350" s="8" t="s">
        <v>29</v>
      </c>
      <c r="I350" s="9">
        <v>6527</v>
      </c>
      <c r="J350" s="10">
        <v>0.25</v>
      </c>
      <c r="K350" s="11">
        <f t="shared" si="3"/>
        <v>1631.75</v>
      </c>
      <c r="L350" s="6" t="s">
        <v>20</v>
      </c>
      <c r="M350" s="6" t="s">
        <v>46</v>
      </c>
      <c r="N350" s="6" t="s">
        <v>34</v>
      </c>
      <c r="O350" s="3"/>
      <c r="P350" s="4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6.5" customHeight="1" x14ac:dyDescent="0.3">
      <c r="A351" s="5">
        <v>45463</v>
      </c>
      <c r="B351" s="6" t="s">
        <v>69</v>
      </c>
      <c r="C351" s="6" t="s">
        <v>78</v>
      </c>
      <c r="D351" s="7" t="s">
        <v>60</v>
      </c>
      <c r="E351" s="6" t="s">
        <v>24</v>
      </c>
      <c r="F351" s="8" t="s">
        <v>32</v>
      </c>
      <c r="G351" s="8" t="str">
        <f t="shared" si="2"/>
        <v>Design</v>
      </c>
      <c r="H351" s="8" t="s">
        <v>29</v>
      </c>
      <c r="I351" s="9">
        <v>7304</v>
      </c>
      <c r="J351" s="10">
        <v>0.4</v>
      </c>
      <c r="K351" s="11">
        <f t="shared" si="3"/>
        <v>2921.6000000000004</v>
      </c>
      <c r="L351" s="6" t="s">
        <v>20</v>
      </c>
      <c r="M351" s="6" t="s">
        <v>46</v>
      </c>
      <c r="N351" s="6" t="s">
        <v>37</v>
      </c>
      <c r="O351" s="3"/>
      <c r="P351" s="4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6.5" customHeight="1" x14ac:dyDescent="0.3">
      <c r="A352" s="5">
        <v>45465</v>
      </c>
      <c r="B352" s="6" t="s">
        <v>69</v>
      </c>
      <c r="C352" s="6" t="s">
        <v>78</v>
      </c>
      <c r="D352" s="7" t="s">
        <v>63</v>
      </c>
      <c r="E352" s="6" t="s">
        <v>17</v>
      </c>
      <c r="F352" s="8" t="s">
        <v>25</v>
      </c>
      <c r="G352" s="8" t="str">
        <f t="shared" si="2"/>
        <v>Marketing</v>
      </c>
      <c r="H352" s="8" t="s">
        <v>33</v>
      </c>
      <c r="I352" s="9">
        <v>3467</v>
      </c>
      <c r="J352" s="10">
        <v>0.25</v>
      </c>
      <c r="K352" s="11">
        <f t="shared" si="3"/>
        <v>866.75</v>
      </c>
      <c r="L352" s="6" t="s">
        <v>20</v>
      </c>
      <c r="M352" s="6" t="s">
        <v>46</v>
      </c>
      <c r="N352" s="6" t="s">
        <v>30</v>
      </c>
      <c r="O352" s="3"/>
      <c r="P352" s="4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6.5" customHeight="1" x14ac:dyDescent="0.3">
      <c r="A353" s="5">
        <v>45465</v>
      </c>
      <c r="B353" s="6" t="s">
        <v>69</v>
      </c>
      <c r="C353" s="6" t="s">
        <v>78</v>
      </c>
      <c r="D353" s="7" t="s">
        <v>40</v>
      </c>
      <c r="E353" s="6" t="s">
        <v>17</v>
      </c>
      <c r="F353" s="8" t="s">
        <v>32</v>
      </c>
      <c r="G353" s="8" t="str">
        <f t="shared" si="2"/>
        <v>Design</v>
      </c>
      <c r="H353" s="8" t="s">
        <v>29</v>
      </c>
      <c r="I353" s="9">
        <v>7337</v>
      </c>
      <c r="J353" s="10">
        <v>0.4</v>
      </c>
      <c r="K353" s="11">
        <f t="shared" si="3"/>
        <v>2934.8</v>
      </c>
      <c r="L353" s="6" t="s">
        <v>27</v>
      </c>
      <c r="M353" s="6" t="s">
        <v>21</v>
      </c>
      <c r="N353" s="6" t="s">
        <v>37</v>
      </c>
      <c r="O353" s="3"/>
      <c r="P353" s="4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6.5" customHeight="1" x14ac:dyDescent="0.3">
      <c r="A354" s="5">
        <v>45466</v>
      </c>
      <c r="B354" s="6" t="s">
        <v>69</v>
      </c>
      <c r="C354" s="6" t="s">
        <v>78</v>
      </c>
      <c r="D354" s="7" t="s">
        <v>49</v>
      </c>
      <c r="E354" s="6" t="s">
        <v>17</v>
      </c>
      <c r="F354" s="8" t="s">
        <v>25</v>
      </c>
      <c r="G354" s="8" t="str">
        <f t="shared" si="2"/>
        <v>Marketing</v>
      </c>
      <c r="H354" s="8" t="s">
        <v>29</v>
      </c>
      <c r="I354" s="9">
        <v>3007</v>
      </c>
      <c r="J354" s="10">
        <v>0.25</v>
      </c>
      <c r="K354" s="11">
        <f t="shared" si="3"/>
        <v>751.75</v>
      </c>
      <c r="L354" s="6" t="s">
        <v>20</v>
      </c>
      <c r="M354" s="6" t="s">
        <v>21</v>
      </c>
      <c r="N354" s="6" t="s">
        <v>30</v>
      </c>
      <c r="O354" s="3"/>
      <c r="P354" s="4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6.5" customHeight="1" x14ac:dyDescent="0.3">
      <c r="A355" s="5">
        <v>45467</v>
      </c>
      <c r="B355" s="6" t="s">
        <v>69</v>
      </c>
      <c r="C355" s="6" t="s">
        <v>78</v>
      </c>
      <c r="D355" s="7" t="s">
        <v>45</v>
      </c>
      <c r="E355" s="6" t="s">
        <v>17</v>
      </c>
      <c r="F355" s="8" t="s">
        <v>39</v>
      </c>
      <c r="G355" s="8" t="str">
        <f t="shared" si="2"/>
        <v>Design</v>
      </c>
      <c r="H355" s="8" t="s">
        <v>19</v>
      </c>
      <c r="I355" s="9">
        <v>6967</v>
      </c>
      <c r="J355" s="10">
        <v>0.35</v>
      </c>
      <c r="K355" s="11">
        <f t="shared" si="3"/>
        <v>2438.4499999999998</v>
      </c>
      <c r="L355" s="6" t="s">
        <v>27</v>
      </c>
      <c r="M355" s="6" t="s">
        <v>46</v>
      </c>
      <c r="N355" s="6" t="s">
        <v>34</v>
      </c>
      <c r="O355" s="3"/>
      <c r="P355" s="4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6.5" customHeight="1" x14ac:dyDescent="0.3">
      <c r="A356" s="5">
        <v>45468</v>
      </c>
      <c r="B356" s="6" t="s">
        <v>69</v>
      </c>
      <c r="C356" s="6" t="s">
        <v>78</v>
      </c>
      <c r="D356" s="7" t="s">
        <v>43</v>
      </c>
      <c r="E356" s="6" t="s">
        <v>24</v>
      </c>
      <c r="F356" s="8" t="s">
        <v>32</v>
      </c>
      <c r="G356" s="8" t="str">
        <f t="shared" si="2"/>
        <v>Design</v>
      </c>
      <c r="H356" s="8" t="s">
        <v>33</v>
      </c>
      <c r="I356" s="9">
        <v>3579</v>
      </c>
      <c r="J356" s="10">
        <v>0.4</v>
      </c>
      <c r="K356" s="11">
        <f t="shared" si="3"/>
        <v>1431.6000000000001</v>
      </c>
      <c r="L356" s="6" t="s">
        <v>20</v>
      </c>
      <c r="M356" s="6" t="s">
        <v>21</v>
      </c>
      <c r="N356" s="6" t="s">
        <v>37</v>
      </c>
      <c r="O356" s="3"/>
      <c r="P356" s="4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6.5" customHeight="1" x14ac:dyDescent="0.3">
      <c r="A357" s="5">
        <v>45468</v>
      </c>
      <c r="B357" s="6" t="s">
        <v>69</v>
      </c>
      <c r="C357" s="6" t="s">
        <v>78</v>
      </c>
      <c r="D357" s="7" t="s">
        <v>28</v>
      </c>
      <c r="E357" s="6" t="s">
        <v>24</v>
      </c>
      <c r="F357" s="8" t="s">
        <v>18</v>
      </c>
      <c r="G357" s="8" t="str">
        <f t="shared" si="2"/>
        <v>Marketing</v>
      </c>
      <c r="H357" s="8" t="s">
        <v>26</v>
      </c>
      <c r="I357" s="9">
        <v>5956</v>
      </c>
      <c r="J357" s="10">
        <v>0.3</v>
      </c>
      <c r="K357" s="11">
        <f t="shared" si="3"/>
        <v>1786.8</v>
      </c>
      <c r="L357" s="6" t="s">
        <v>20</v>
      </c>
      <c r="M357" s="6" t="s">
        <v>25</v>
      </c>
      <c r="N357" s="6" t="s">
        <v>30</v>
      </c>
      <c r="O357" s="3"/>
      <c r="P357" s="4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6.5" customHeight="1" x14ac:dyDescent="0.3">
      <c r="A358" s="5">
        <v>45469</v>
      </c>
      <c r="B358" s="6" t="s">
        <v>69</v>
      </c>
      <c r="C358" s="6" t="s">
        <v>78</v>
      </c>
      <c r="D358" s="7" t="s">
        <v>68</v>
      </c>
      <c r="E358" s="6" t="s">
        <v>24</v>
      </c>
      <c r="F358" s="8" t="s">
        <v>41</v>
      </c>
      <c r="G358" s="8" t="str">
        <f t="shared" si="2"/>
        <v>Copywriting</v>
      </c>
      <c r="H358" s="8" t="s">
        <v>19</v>
      </c>
      <c r="I358" s="9">
        <v>4703</v>
      </c>
      <c r="J358" s="10">
        <v>0.25</v>
      </c>
      <c r="K358" s="11">
        <f t="shared" si="3"/>
        <v>1175.75</v>
      </c>
      <c r="L358" s="6" t="s">
        <v>20</v>
      </c>
      <c r="M358" s="6" t="s">
        <v>21</v>
      </c>
      <c r="N358" s="6" t="s">
        <v>30</v>
      </c>
      <c r="O358" s="3"/>
      <c r="P358" s="4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6.5" customHeight="1" x14ac:dyDescent="0.3">
      <c r="A359" s="5">
        <v>45469</v>
      </c>
      <c r="B359" s="6" t="s">
        <v>69</v>
      </c>
      <c r="C359" s="6" t="s">
        <v>78</v>
      </c>
      <c r="D359" s="7" t="s">
        <v>31</v>
      </c>
      <c r="E359" s="6" t="s">
        <v>24</v>
      </c>
      <c r="F359" s="8" t="s">
        <v>41</v>
      </c>
      <c r="G359" s="8" t="str">
        <f t="shared" si="2"/>
        <v>Copywriting</v>
      </c>
      <c r="H359" s="8" t="s">
        <v>26</v>
      </c>
      <c r="I359" s="9">
        <v>6947</v>
      </c>
      <c r="J359" s="10">
        <v>0.25</v>
      </c>
      <c r="K359" s="11">
        <f t="shared" si="3"/>
        <v>1736.75</v>
      </c>
      <c r="L359" s="6" t="s">
        <v>27</v>
      </c>
      <c r="M359" s="6" t="s">
        <v>46</v>
      </c>
      <c r="N359" s="6" t="s">
        <v>22</v>
      </c>
      <c r="O359" s="3"/>
      <c r="P359" s="4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6.5" customHeight="1" x14ac:dyDescent="0.3">
      <c r="A360" s="5">
        <v>45471</v>
      </c>
      <c r="B360" s="6" t="s">
        <v>69</v>
      </c>
      <c r="C360" s="6" t="s">
        <v>78</v>
      </c>
      <c r="D360" s="7" t="s">
        <v>49</v>
      </c>
      <c r="E360" s="6" t="s">
        <v>17</v>
      </c>
      <c r="F360" s="8" t="s">
        <v>25</v>
      </c>
      <c r="G360" s="8" t="str">
        <f t="shared" si="2"/>
        <v>Marketing</v>
      </c>
      <c r="H360" s="8" t="s">
        <v>33</v>
      </c>
      <c r="I360" s="9">
        <v>3550</v>
      </c>
      <c r="J360" s="10">
        <v>0.25</v>
      </c>
      <c r="K360" s="11">
        <f t="shared" si="3"/>
        <v>887.5</v>
      </c>
      <c r="L360" s="6" t="s">
        <v>27</v>
      </c>
      <c r="M360" s="6" t="s">
        <v>21</v>
      </c>
      <c r="N360" s="6" t="s">
        <v>22</v>
      </c>
      <c r="O360" s="3"/>
      <c r="P360" s="4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6.5" customHeight="1" x14ac:dyDescent="0.3">
      <c r="A361" s="5">
        <v>45472</v>
      </c>
      <c r="B361" s="6" t="s">
        <v>69</v>
      </c>
      <c r="C361" s="6" t="s">
        <v>78</v>
      </c>
      <c r="D361" s="7" t="s">
        <v>59</v>
      </c>
      <c r="E361" s="6" t="s">
        <v>24</v>
      </c>
      <c r="F361" s="8" t="s">
        <v>41</v>
      </c>
      <c r="G361" s="8" t="str">
        <f t="shared" si="2"/>
        <v>Copywriting</v>
      </c>
      <c r="H361" s="8" t="s">
        <v>29</v>
      </c>
      <c r="I361" s="9">
        <v>5877</v>
      </c>
      <c r="J361" s="10">
        <v>0.25</v>
      </c>
      <c r="K361" s="11">
        <f t="shared" si="3"/>
        <v>1469.25</v>
      </c>
      <c r="L361" s="6" t="s">
        <v>20</v>
      </c>
      <c r="M361" s="6" t="s">
        <v>25</v>
      </c>
      <c r="N361" s="6" t="s">
        <v>34</v>
      </c>
      <c r="O361" s="3"/>
      <c r="P361" s="4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6.5" customHeight="1" x14ac:dyDescent="0.3">
      <c r="A362" s="5">
        <v>45475</v>
      </c>
      <c r="B362" s="6" t="s">
        <v>71</v>
      </c>
      <c r="C362" s="6" t="s">
        <v>78</v>
      </c>
      <c r="D362" s="7" t="s">
        <v>54</v>
      </c>
      <c r="E362" s="6" t="s">
        <v>17</v>
      </c>
      <c r="F362" s="8" t="s">
        <v>25</v>
      </c>
      <c r="G362" s="8" t="str">
        <f t="shared" si="2"/>
        <v>Marketing</v>
      </c>
      <c r="H362" s="8" t="s">
        <v>42</v>
      </c>
      <c r="I362" s="9">
        <v>12139</v>
      </c>
      <c r="J362" s="10">
        <v>0.25</v>
      </c>
      <c r="K362" s="11">
        <f t="shared" si="3"/>
        <v>3034.75</v>
      </c>
      <c r="L362" s="6" t="s">
        <v>20</v>
      </c>
      <c r="M362" s="6" t="s">
        <v>46</v>
      </c>
      <c r="N362" s="6" t="s">
        <v>30</v>
      </c>
      <c r="O362" s="3"/>
      <c r="P362" s="4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6.5" customHeight="1" x14ac:dyDescent="0.3">
      <c r="A363" s="5">
        <v>45476</v>
      </c>
      <c r="B363" s="6" t="s">
        <v>71</v>
      </c>
      <c r="C363" s="6" t="s">
        <v>78</v>
      </c>
      <c r="D363" s="7" t="s">
        <v>36</v>
      </c>
      <c r="E363" s="6" t="s">
        <v>17</v>
      </c>
      <c r="F363" s="8" t="s">
        <v>32</v>
      </c>
      <c r="G363" s="8" t="str">
        <f t="shared" si="2"/>
        <v>Design</v>
      </c>
      <c r="H363" s="8" t="s">
        <v>26</v>
      </c>
      <c r="I363" s="9">
        <v>11449</v>
      </c>
      <c r="J363" s="10">
        <v>0.4</v>
      </c>
      <c r="K363" s="11">
        <f t="shared" si="3"/>
        <v>4579.6000000000004</v>
      </c>
      <c r="L363" s="6" t="s">
        <v>27</v>
      </c>
      <c r="M363" s="6" t="s">
        <v>46</v>
      </c>
      <c r="N363" s="6" t="s">
        <v>30</v>
      </c>
      <c r="O363" s="3"/>
      <c r="P363" s="4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6.5" customHeight="1" x14ac:dyDescent="0.3">
      <c r="A364" s="5">
        <v>45476</v>
      </c>
      <c r="B364" s="6" t="s">
        <v>71</v>
      </c>
      <c r="C364" s="6" t="s">
        <v>78</v>
      </c>
      <c r="D364" s="7" t="s">
        <v>64</v>
      </c>
      <c r="E364" s="6" t="s">
        <v>17</v>
      </c>
      <c r="F364" s="8" t="s">
        <v>41</v>
      </c>
      <c r="G364" s="8" t="str">
        <f t="shared" si="2"/>
        <v>Copywriting</v>
      </c>
      <c r="H364" s="8" t="s">
        <v>33</v>
      </c>
      <c r="I364" s="9">
        <v>8143</v>
      </c>
      <c r="J364" s="10">
        <v>0.25</v>
      </c>
      <c r="K364" s="11">
        <f t="shared" si="3"/>
        <v>2035.75</v>
      </c>
      <c r="L364" s="6" t="s">
        <v>20</v>
      </c>
      <c r="M364" s="6" t="s">
        <v>21</v>
      </c>
      <c r="N364" s="6" t="s">
        <v>22</v>
      </c>
      <c r="O364" s="3"/>
      <c r="P364" s="4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6.5" customHeight="1" x14ac:dyDescent="0.3">
      <c r="A365" s="5">
        <v>45484</v>
      </c>
      <c r="B365" s="6" t="s">
        <v>71</v>
      </c>
      <c r="C365" s="6" t="s">
        <v>78</v>
      </c>
      <c r="D365" s="7" t="s">
        <v>50</v>
      </c>
      <c r="E365" s="6" t="s">
        <v>17</v>
      </c>
      <c r="F365" s="8" t="s">
        <v>18</v>
      </c>
      <c r="G365" s="8" t="str">
        <f t="shared" si="2"/>
        <v>Marketing</v>
      </c>
      <c r="H365" s="8" t="s">
        <v>33</v>
      </c>
      <c r="I365" s="9">
        <v>11800</v>
      </c>
      <c r="J365" s="10">
        <v>0.3</v>
      </c>
      <c r="K365" s="11">
        <f t="shared" si="3"/>
        <v>3540</v>
      </c>
      <c r="L365" s="6" t="s">
        <v>20</v>
      </c>
      <c r="M365" s="6" t="s">
        <v>21</v>
      </c>
      <c r="N365" s="6" t="s">
        <v>34</v>
      </c>
      <c r="O365" s="3"/>
      <c r="P365" s="4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6.5" customHeight="1" x14ac:dyDescent="0.3">
      <c r="A366" s="5">
        <v>45486</v>
      </c>
      <c r="B366" s="6" t="s">
        <v>71</v>
      </c>
      <c r="C366" s="6" t="s">
        <v>78</v>
      </c>
      <c r="D366" s="7" t="s">
        <v>28</v>
      </c>
      <c r="E366" s="6" t="s">
        <v>24</v>
      </c>
      <c r="F366" s="8" t="s">
        <v>18</v>
      </c>
      <c r="G366" s="8" t="str">
        <f t="shared" si="2"/>
        <v>Marketing</v>
      </c>
      <c r="H366" s="8" t="s">
        <v>29</v>
      </c>
      <c r="I366" s="9">
        <v>9912</v>
      </c>
      <c r="J366" s="10">
        <v>0.3</v>
      </c>
      <c r="K366" s="11">
        <f t="shared" si="3"/>
        <v>2973.6</v>
      </c>
      <c r="L366" s="6" t="s">
        <v>27</v>
      </c>
      <c r="M366" s="6" t="s">
        <v>21</v>
      </c>
      <c r="N366" s="6" t="s">
        <v>37</v>
      </c>
      <c r="O366" s="3"/>
      <c r="P366" s="4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6.5" customHeight="1" x14ac:dyDescent="0.3">
      <c r="A367" s="5">
        <v>45487</v>
      </c>
      <c r="B367" s="6" t="s">
        <v>71</v>
      </c>
      <c r="C367" s="6" t="s">
        <v>78</v>
      </c>
      <c r="D367" s="7" t="s">
        <v>64</v>
      </c>
      <c r="E367" s="6" t="s">
        <v>17</v>
      </c>
      <c r="F367" s="8" t="s">
        <v>41</v>
      </c>
      <c r="G367" s="8" t="str">
        <f t="shared" si="2"/>
        <v>Copywriting</v>
      </c>
      <c r="H367" s="8" t="s">
        <v>26</v>
      </c>
      <c r="I367" s="9">
        <v>8622</v>
      </c>
      <c r="J367" s="10">
        <v>0.25</v>
      </c>
      <c r="K367" s="11">
        <f t="shared" si="3"/>
        <v>2155.5</v>
      </c>
      <c r="L367" s="6" t="s">
        <v>27</v>
      </c>
      <c r="M367" s="6" t="s">
        <v>46</v>
      </c>
      <c r="N367" s="6" t="s">
        <v>34</v>
      </c>
      <c r="O367" s="3"/>
      <c r="P367" s="4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6.5" customHeight="1" x14ac:dyDescent="0.3">
      <c r="A368" s="5">
        <v>45487</v>
      </c>
      <c r="B368" s="6" t="s">
        <v>71</v>
      </c>
      <c r="C368" s="6" t="s">
        <v>78</v>
      </c>
      <c r="D368" s="7" t="s">
        <v>62</v>
      </c>
      <c r="E368" s="6" t="s">
        <v>24</v>
      </c>
      <c r="F368" s="8" t="s">
        <v>41</v>
      </c>
      <c r="G368" s="8" t="str">
        <f t="shared" si="2"/>
        <v>Copywriting</v>
      </c>
      <c r="H368" s="8" t="s">
        <v>33</v>
      </c>
      <c r="I368" s="9">
        <v>12171</v>
      </c>
      <c r="J368" s="10">
        <v>0.25</v>
      </c>
      <c r="K368" s="11">
        <f t="shared" si="3"/>
        <v>3042.75</v>
      </c>
      <c r="L368" s="6" t="s">
        <v>20</v>
      </c>
      <c r="M368" s="6" t="s">
        <v>46</v>
      </c>
      <c r="N368" s="6" t="s">
        <v>34</v>
      </c>
      <c r="O368" s="3"/>
      <c r="P368" s="4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6.5" customHeight="1" x14ac:dyDescent="0.3">
      <c r="A369" s="5">
        <v>45489</v>
      </c>
      <c r="B369" s="6" t="s">
        <v>71</v>
      </c>
      <c r="C369" s="6" t="s">
        <v>78</v>
      </c>
      <c r="D369" s="7" t="s">
        <v>57</v>
      </c>
      <c r="E369" s="6" t="s">
        <v>24</v>
      </c>
      <c r="F369" s="8" t="s">
        <v>41</v>
      </c>
      <c r="G369" s="8" t="str">
        <f t="shared" si="2"/>
        <v>Copywriting</v>
      </c>
      <c r="H369" s="8" t="s">
        <v>29</v>
      </c>
      <c r="I369" s="9">
        <v>10535</v>
      </c>
      <c r="J369" s="10">
        <v>0.25</v>
      </c>
      <c r="K369" s="11">
        <f t="shared" si="3"/>
        <v>2633.75</v>
      </c>
      <c r="L369" s="6" t="s">
        <v>20</v>
      </c>
      <c r="M369" s="6" t="s">
        <v>21</v>
      </c>
      <c r="N369" s="6" t="s">
        <v>34</v>
      </c>
      <c r="O369" s="3"/>
      <c r="P369" s="4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6.5" customHeight="1" x14ac:dyDescent="0.3">
      <c r="A370" s="5">
        <v>45490</v>
      </c>
      <c r="B370" s="6" t="s">
        <v>71</v>
      </c>
      <c r="C370" s="6" t="s">
        <v>78</v>
      </c>
      <c r="D370" s="7" t="s">
        <v>54</v>
      </c>
      <c r="E370" s="6" t="s">
        <v>17</v>
      </c>
      <c r="F370" s="8" t="s">
        <v>25</v>
      </c>
      <c r="G370" s="8" t="str">
        <f t="shared" si="2"/>
        <v>Marketing</v>
      </c>
      <c r="H370" s="8" t="s">
        <v>26</v>
      </c>
      <c r="I370" s="9">
        <v>7953</v>
      </c>
      <c r="J370" s="10">
        <v>0.25</v>
      </c>
      <c r="K370" s="11">
        <f t="shared" si="3"/>
        <v>1988.25</v>
      </c>
      <c r="L370" s="6" t="s">
        <v>20</v>
      </c>
      <c r="M370" s="6" t="s">
        <v>25</v>
      </c>
      <c r="N370" s="6" t="s">
        <v>22</v>
      </c>
      <c r="O370" s="3"/>
      <c r="P370" s="4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6.5" customHeight="1" x14ac:dyDescent="0.3">
      <c r="A371" s="5">
        <v>45492</v>
      </c>
      <c r="B371" s="6" t="s">
        <v>71</v>
      </c>
      <c r="C371" s="6" t="s">
        <v>78</v>
      </c>
      <c r="D371" s="7" t="s">
        <v>48</v>
      </c>
      <c r="E371" s="6" t="s">
        <v>17</v>
      </c>
      <c r="F371" s="8" t="s">
        <v>41</v>
      </c>
      <c r="G371" s="8" t="str">
        <f t="shared" si="2"/>
        <v>Copywriting</v>
      </c>
      <c r="H371" s="8" t="s">
        <v>42</v>
      </c>
      <c r="I371" s="9">
        <v>10930</v>
      </c>
      <c r="J371" s="10">
        <v>0.25</v>
      </c>
      <c r="K371" s="11">
        <f t="shared" si="3"/>
        <v>2732.5</v>
      </c>
      <c r="L371" s="6" t="s">
        <v>27</v>
      </c>
      <c r="M371" s="6" t="s">
        <v>21</v>
      </c>
      <c r="N371" s="6" t="s">
        <v>34</v>
      </c>
      <c r="O371" s="3"/>
      <c r="P371" s="4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6.5" customHeight="1" x14ac:dyDescent="0.3">
      <c r="A372" s="5">
        <v>45494</v>
      </c>
      <c r="B372" s="6" t="s">
        <v>71</v>
      </c>
      <c r="C372" s="6" t="s">
        <v>78</v>
      </c>
      <c r="D372" s="7" t="s">
        <v>44</v>
      </c>
      <c r="E372" s="6" t="s">
        <v>24</v>
      </c>
      <c r="F372" s="8" t="s">
        <v>32</v>
      </c>
      <c r="G372" s="8" t="str">
        <f t="shared" si="2"/>
        <v>Design</v>
      </c>
      <c r="H372" s="8" t="s">
        <v>19</v>
      </c>
      <c r="I372" s="9">
        <v>11500</v>
      </c>
      <c r="J372" s="10">
        <v>0.4</v>
      </c>
      <c r="K372" s="11">
        <f t="shared" si="3"/>
        <v>4600</v>
      </c>
      <c r="L372" s="6" t="s">
        <v>20</v>
      </c>
      <c r="M372" s="6" t="s">
        <v>25</v>
      </c>
      <c r="N372" s="6" t="s">
        <v>22</v>
      </c>
      <c r="O372" s="3"/>
      <c r="P372" s="4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6.5" customHeight="1" x14ac:dyDescent="0.3">
      <c r="A373" s="5">
        <v>45494</v>
      </c>
      <c r="B373" s="6" t="s">
        <v>71</v>
      </c>
      <c r="C373" s="6" t="s">
        <v>78</v>
      </c>
      <c r="D373" s="7" t="s">
        <v>62</v>
      </c>
      <c r="E373" s="6" t="s">
        <v>24</v>
      </c>
      <c r="F373" s="8" t="s">
        <v>41</v>
      </c>
      <c r="G373" s="8" t="str">
        <f t="shared" si="2"/>
        <v>Copywriting</v>
      </c>
      <c r="H373" s="8" t="s">
        <v>29</v>
      </c>
      <c r="I373" s="9">
        <v>9291</v>
      </c>
      <c r="J373" s="10">
        <v>0.25</v>
      </c>
      <c r="K373" s="11">
        <f t="shared" si="3"/>
        <v>2322.75</v>
      </c>
      <c r="L373" s="6" t="s">
        <v>27</v>
      </c>
      <c r="M373" s="6" t="s">
        <v>46</v>
      </c>
      <c r="N373" s="6" t="s">
        <v>22</v>
      </c>
      <c r="O373" s="3"/>
      <c r="P373" s="4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6.5" customHeight="1" x14ac:dyDescent="0.3">
      <c r="A374" s="5">
        <v>45494</v>
      </c>
      <c r="B374" s="6" t="s">
        <v>71</v>
      </c>
      <c r="C374" s="6" t="s">
        <v>78</v>
      </c>
      <c r="D374" s="7" t="s">
        <v>58</v>
      </c>
      <c r="E374" s="6" t="s">
        <v>24</v>
      </c>
      <c r="F374" s="8" t="s">
        <v>32</v>
      </c>
      <c r="G374" s="8" t="str">
        <f t="shared" si="2"/>
        <v>Design</v>
      </c>
      <c r="H374" s="8" t="s">
        <v>33</v>
      </c>
      <c r="I374" s="9">
        <v>10444</v>
      </c>
      <c r="J374" s="10">
        <v>0.4</v>
      </c>
      <c r="K374" s="11">
        <f t="shared" si="3"/>
        <v>4177.6000000000004</v>
      </c>
      <c r="L374" s="6" t="s">
        <v>20</v>
      </c>
      <c r="M374" s="6" t="s">
        <v>46</v>
      </c>
      <c r="N374" s="6" t="s">
        <v>22</v>
      </c>
      <c r="O374" s="3"/>
      <c r="P374" s="4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6.5" customHeight="1" x14ac:dyDescent="0.3">
      <c r="A375" s="5">
        <v>45495</v>
      </c>
      <c r="B375" s="6" t="s">
        <v>71</v>
      </c>
      <c r="C375" s="6" t="s">
        <v>78</v>
      </c>
      <c r="D375" s="7" t="s">
        <v>55</v>
      </c>
      <c r="E375" s="6" t="s">
        <v>24</v>
      </c>
      <c r="F375" s="8" t="s">
        <v>39</v>
      </c>
      <c r="G375" s="8" t="str">
        <f t="shared" si="2"/>
        <v>Design</v>
      </c>
      <c r="H375" s="8" t="s">
        <v>42</v>
      </c>
      <c r="I375" s="9">
        <v>9128</v>
      </c>
      <c r="J375" s="10">
        <v>0.35</v>
      </c>
      <c r="K375" s="11">
        <f t="shared" si="3"/>
        <v>3194.7999999999997</v>
      </c>
      <c r="L375" s="6" t="s">
        <v>27</v>
      </c>
      <c r="M375" s="6" t="s">
        <v>46</v>
      </c>
      <c r="N375" s="6" t="s">
        <v>37</v>
      </c>
      <c r="O375" s="3"/>
      <c r="P375" s="4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6.5" customHeight="1" x14ac:dyDescent="0.3">
      <c r="A376" s="5">
        <v>45499</v>
      </c>
      <c r="B376" s="6" t="s">
        <v>71</v>
      </c>
      <c r="C376" s="6" t="s">
        <v>78</v>
      </c>
      <c r="D376" s="7" t="s">
        <v>16</v>
      </c>
      <c r="E376" s="6" t="s">
        <v>17</v>
      </c>
      <c r="F376" s="8" t="s">
        <v>18</v>
      </c>
      <c r="G376" s="8" t="str">
        <f t="shared" si="2"/>
        <v>Marketing</v>
      </c>
      <c r="H376" s="8" t="s">
        <v>29</v>
      </c>
      <c r="I376" s="9">
        <v>12227</v>
      </c>
      <c r="J376" s="10">
        <v>0.3</v>
      </c>
      <c r="K376" s="11">
        <f t="shared" si="3"/>
        <v>3668.1</v>
      </c>
      <c r="L376" s="6" t="s">
        <v>20</v>
      </c>
      <c r="M376" s="6" t="s">
        <v>21</v>
      </c>
      <c r="N376" s="6" t="s">
        <v>37</v>
      </c>
      <c r="O376" s="3"/>
      <c r="P376" s="4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6.5" customHeight="1" x14ac:dyDescent="0.3">
      <c r="A377" s="5">
        <v>45499</v>
      </c>
      <c r="B377" s="6" t="s">
        <v>71</v>
      </c>
      <c r="C377" s="6" t="s">
        <v>78</v>
      </c>
      <c r="D377" s="7" t="s">
        <v>44</v>
      </c>
      <c r="E377" s="6" t="s">
        <v>24</v>
      </c>
      <c r="F377" s="8" t="s">
        <v>41</v>
      </c>
      <c r="G377" s="8" t="str">
        <f t="shared" si="2"/>
        <v>Copywriting</v>
      </c>
      <c r="H377" s="8" t="s">
        <v>19</v>
      </c>
      <c r="I377" s="9">
        <v>11606</v>
      </c>
      <c r="J377" s="10">
        <v>0.25</v>
      </c>
      <c r="K377" s="11">
        <f t="shared" si="3"/>
        <v>2901.5</v>
      </c>
      <c r="L377" s="6" t="s">
        <v>27</v>
      </c>
      <c r="M377" s="6" t="s">
        <v>21</v>
      </c>
      <c r="N377" s="6" t="s">
        <v>22</v>
      </c>
      <c r="O377" s="3"/>
      <c r="P377" s="4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6.5" customHeight="1" x14ac:dyDescent="0.3">
      <c r="A378" s="5">
        <v>45500</v>
      </c>
      <c r="B378" s="6" t="s">
        <v>71</v>
      </c>
      <c r="C378" s="6" t="s">
        <v>78</v>
      </c>
      <c r="D378" s="7" t="s">
        <v>44</v>
      </c>
      <c r="E378" s="6" t="s">
        <v>24</v>
      </c>
      <c r="F378" s="8" t="s">
        <v>39</v>
      </c>
      <c r="G378" s="8" t="str">
        <f t="shared" si="2"/>
        <v>Design</v>
      </c>
      <c r="H378" s="8" t="s">
        <v>19</v>
      </c>
      <c r="I378" s="9">
        <v>8223</v>
      </c>
      <c r="J378" s="10">
        <v>0.35</v>
      </c>
      <c r="K378" s="11">
        <f t="shared" si="3"/>
        <v>2878.0499999999997</v>
      </c>
      <c r="L378" s="6" t="s">
        <v>20</v>
      </c>
      <c r="M378" s="6" t="s">
        <v>25</v>
      </c>
      <c r="N378" s="6" t="s">
        <v>30</v>
      </c>
      <c r="O378" s="3"/>
      <c r="P378" s="4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6.5" customHeight="1" x14ac:dyDescent="0.3">
      <c r="A379" s="5">
        <v>45502</v>
      </c>
      <c r="B379" s="6" t="s">
        <v>71</v>
      </c>
      <c r="C379" s="6" t="s">
        <v>78</v>
      </c>
      <c r="D379" s="7" t="s">
        <v>50</v>
      </c>
      <c r="E379" s="6" t="s">
        <v>17</v>
      </c>
      <c r="F379" s="8" t="s">
        <v>18</v>
      </c>
      <c r="G379" s="8" t="str">
        <f t="shared" si="2"/>
        <v>Marketing</v>
      </c>
      <c r="H379" s="8" t="s">
        <v>33</v>
      </c>
      <c r="I379" s="9">
        <v>8418</v>
      </c>
      <c r="J379" s="10">
        <v>0.3</v>
      </c>
      <c r="K379" s="11">
        <f t="shared" si="3"/>
        <v>2525.4</v>
      </c>
      <c r="L379" s="6" t="s">
        <v>20</v>
      </c>
      <c r="M379" s="6" t="s">
        <v>25</v>
      </c>
      <c r="N379" s="6" t="s">
        <v>22</v>
      </c>
      <c r="O379" s="3"/>
      <c r="P379" s="4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6.5" customHeight="1" x14ac:dyDescent="0.3">
      <c r="A380" s="5">
        <v>45502</v>
      </c>
      <c r="B380" s="6" t="s">
        <v>71</v>
      </c>
      <c r="C380" s="6" t="s">
        <v>78</v>
      </c>
      <c r="D380" s="7" t="s">
        <v>36</v>
      </c>
      <c r="E380" s="6" t="s">
        <v>17</v>
      </c>
      <c r="F380" s="8" t="s">
        <v>41</v>
      </c>
      <c r="G380" s="8" t="str">
        <f t="shared" si="2"/>
        <v>Copywriting</v>
      </c>
      <c r="H380" s="8" t="s">
        <v>26</v>
      </c>
      <c r="I380" s="9">
        <v>12124</v>
      </c>
      <c r="J380" s="10">
        <v>0.25</v>
      </c>
      <c r="K380" s="11">
        <f t="shared" si="3"/>
        <v>3031</v>
      </c>
      <c r="L380" s="6" t="s">
        <v>20</v>
      </c>
      <c r="M380" s="6" t="s">
        <v>25</v>
      </c>
      <c r="N380" s="6" t="s">
        <v>37</v>
      </c>
      <c r="O380" s="3"/>
      <c r="P380" s="4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6.5" customHeight="1" x14ac:dyDescent="0.3">
      <c r="A381" s="5">
        <v>45504</v>
      </c>
      <c r="B381" s="6" t="s">
        <v>71</v>
      </c>
      <c r="C381" s="6" t="s">
        <v>78</v>
      </c>
      <c r="D381" s="7" t="s">
        <v>35</v>
      </c>
      <c r="E381" s="6" t="s">
        <v>24</v>
      </c>
      <c r="F381" s="8" t="s">
        <v>39</v>
      </c>
      <c r="G381" s="8" t="str">
        <f t="shared" si="2"/>
        <v>Design</v>
      </c>
      <c r="H381" s="8" t="s">
        <v>42</v>
      </c>
      <c r="I381" s="9">
        <v>8914</v>
      </c>
      <c r="J381" s="10">
        <v>0.35</v>
      </c>
      <c r="K381" s="11">
        <f t="shared" si="3"/>
        <v>3119.8999999999996</v>
      </c>
      <c r="L381" s="6" t="s">
        <v>20</v>
      </c>
      <c r="M381" s="6" t="s">
        <v>46</v>
      </c>
      <c r="N381" s="6" t="s">
        <v>30</v>
      </c>
      <c r="O381" s="3"/>
      <c r="P381" s="4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6.5" customHeight="1" x14ac:dyDescent="0.3">
      <c r="A382" s="5">
        <v>45506</v>
      </c>
      <c r="B382" s="6" t="s">
        <v>72</v>
      </c>
      <c r="C382" s="6" t="s">
        <v>78</v>
      </c>
      <c r="D382" s="7" t="s">
        <v>57</v>
      </c>
      <c r="E382" s="6" t="s">
        <v>24</v>
      </c>
      <c r="F382" s="8" t="s">
        <v>41</v>
      </c>
      <c r="G382" s="8" t="str">
        <f t="shared" si="2"/>
        <v>Copywriting</v>
      </c>
      <c r="H382" s="8" t="s">
        <v>42</v>
      </c>
      <c r="I382" s="9">
        <v>9798</v>
      </c>
      <c r="J382" s="10">
        <v>0.25</v>
      </c>
      <c r="K382" s="11">
        <f t="shared" si="3"/>
        <v>2449.5</v>
      </c>
      <c r="L382" s="6" t="s">
        <v>27</v>
      </c>
      <c r="M382" s="6" t="s">
        <v>21</v>
      </c>
      <c r="N382" s="6" t="s">
        <v>34</v>
      </c>
      <c r="O382" s="3"/>
      <c r="P382" s="4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6.5" customHeight="1" x14ac:dyDescent="0.3">
      <c r="A383" s="5">
        <v>45507</v>
      </c>
      <c r="B383" s="6" t="s">
        <v>72</v>
      </c>
      <c r="C383" s="6" t="s">
        <v>78</v>
      </c>
      <c r="D383" s="7" t="s">
        <v>52</v>
      </c>
      <c r="E383" s="6" t="s">
        <v>17</v>
      </c>
      <c r="F383" s="8" t="s">
        <v>18</v>
      </c>
      <c r="G383" s="8" t="str">
        <f t="shared" si="2"/>
        <v>Marketing</v>
      </c>
      <c r="H383" s="8" t="s">
        <v>19</v>
      </c>
      <c r="I383" s="9">
        <v>11567</v>
      </c>
      <c r="J383" s="10">
        <v>0.3</v>
      </c>
      <c r="K383" s="11">
        <f t="shared" si="3"/>
        <v>3470.1</v>
      </c>
      <c r="L383" s="6" t="s">
        <v>27</v>
      </c>
      <c r="M383" s="6" t="s">
        <v>46</v>
      </c>
      <c r="N383" s="6" t="s">
        <v>34</v>
      </c>
      <c r="O383" s="3"/>
      <c r="P383" s="4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6.5" customHeight="1" x14ac:dyDescent="0.3">
      <c r="A384" s="5">
        <v>45509</v>
      </c>
      <c r="B384" s="6" t="s">
        <v>72</v>
      </c>
      <c r="C384" s="6" t="s">
        <v>78</v>
      </c>
      <c r="D384" s="7" t="s">
        <v>54</v>
      </c>
      <c r="E384" s="6" t="s">
        <v>17</v>
      </c>
      <c r="F384" s="8" t="s">
        <v>32</v>
      </c>
      <c r="G384" s="8" t="str">
        <f t="shared" si="2"/>
        <v>Design</v>
      </c>
      <c r="H384" s="8" t="s">
        <v>29</v>
      </c>
      <c r="I384" s="9">
        <v>10695</v>
      </c>
      <c r="J384" s="10">
        <v>0.4</v>
      </c>
      <c r="K384" s="11">
        <f t="shared" si="3"/>
        <v>4278</v>
      </c>
      <c r="L384" s="6" t="s">
        <v>20</v>
      </c>
      <c r="M384" s="6" t="s">
        <v>25</v>
      </c>
      <c r="N384" s="6" t="s">
        <v>30</v>
      </c>
      <c r="O384" s="3"/>
      <c r="P384" s="4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6.5" customHeight="1" x14ac:dyDescent="0.3">
      <c r="A385" s="5">
        <v>45512</v>
      </c>
      <c r="B385" s="6" t="s">
        <v>72</v>
      </c>
      <c r="C385" s="6" t="s">
        <v>78</v>
      </c>
      <c r="D385" s="7" t="s">
        <v>51</v>
      </c>
      <c r="E385" s="6" t="s">
        <v>24</v>
      </c>
      <c r="F385" s="8" t="s">
        <v>18</v>
      </c>
      <c r="G385" s="8" t="str">
        <f t="shared" si="2"/>
        <v>Marketing</v>
      </c>
      <c r="H385" s="8" t="s">
        <v>29</v>
      </c>
      <c r="I385" s="9">
        <v>8172</v>
      </c>
      <c r="J385" s="10">
        <v>0.3</v>
      </c>
      <c r="K385" s="11">
        <f t="shared" si="3"/>
        <v>2451.6</v>
      </c>
      <c r="L385" s="6" t="s">
        <v>20</v>
      </c>
      <c r="M385" s="6" t="s">
        <v>46</v>
      </c>
      <c r="N385" s="6" t="s">
        <v>37</v>
      </c>
      <c r="O385" s="3"/>
      <c r="P385" s="4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6.5" customHeight="1" x14ac:dyDescent="0.3">
      <c r="A386" s="5">
        <v>45513</v>
      </c>
      <c r="B386" s="6" t="s">
        <v>72</v>
      </c>
      <c r="C386" s="6" t="s">
        <v>78</v>
      </c>
      <c r="D386" s="7" t="s">
        <v>36</v>
      </c>
      <c r="E386" s="6" t="s">
        <v>17</v>
      </c>
      <c r="F386" s="8" t="s">
        <v>41</v>
      </c>
      <c r="G386" s="8" t="str">
        <f t="shared" si="2"/>
        <v>Copywriting</v>
      </c>
      <c r="H386" s="8" t="s">
        <v>29</v>
      </c>
      <c r="I386" s="9">
        <v>11861</v>
      </c>
      <c r="J386" s="10">
        <v>0.25</v>
      </c>
      <c r="K386" s="11">
        <f t="shared" si="3"/>
        <v>2965.25</v>
      </c>
      <c r="L386" s="6" t="s">
        <v>27</v>
      </c>
      <c r="M386" s="6" t="s">
        <v>25</v>
      </c>
      <c r="N386" s="6" t="s">
        <v>22</v>
      </c>
      <c r="O386" s="3"/>
      <c r="P386" s="4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6.5" customHeight="1" x14ac:dyDescent="0.3">
      <c r="A387" s="5">
        <v>45514</v>
      </c>
      <c r="B387" s="6" t="s">
        <v>72</v>
      </c>
      <c r="C387" s="6" t="s">
        <v>78</v>
      </c>
      <c r="D387" s="7" t="s">
        <v>63</v>
      </c>
      <c r="E387" s="6" t="s">
        <v>17</v>
      </c>
      <c r="F387" s="8" t="s">
        <v>25</v>
      </c>
      <c r="G387" s="8" t="str">
        <f t="shared" si="2"/>
        <v>Marketing</v>
      </c>
      <c r="H387" s="8" t="s">
        <v>33</v>
      </c>
      <c r="I387" s="9">
        <v>9891</v>
      </c>
      <c r="J387" s="10">
        <v>0.25</v>
      </c>
      <c r="K387" s="11">
        <f t="shared" si="3"/>
        <v>2472.75</v>
      </c>
      <c r="L387" s="6" t="s">
        <v>20</v>
      </c>
      <c r="M387" s="6" t="s">
        <v>25</v>
      </c>
      <c r="N387" s="6" t="s">
        <v>34</v>
      </c>
      <c r="O387" s="3"/>
      <c r="P387" s="4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6.5" customHeight="1" x14ac:dyDescent="0.3">
      <c r="A388" s="5">
        <v>45514</v>
      </c>
      <c r="B388" s="6" t="s">
        <v>72</v>
      </c>
      <c r="C388" s="6" t="s">
        <v>78</v>
      </c>
      <c r="D388" s="7" t="s">
        <v>38</v>
      </c>
      <c r="E388" s="6" t="s">
        <v>24</v>
      </c>
      <c r="F388" s="8" t="s">
        <v>39</v>
      </c>
      <c r="G388" s="8" t="str">
        <f t="shared" si="2"/>
        <v>Design</v>
      </c>
      <c r="H388" s="8" t="s">
        <v>42</v>
      </c>
      <c r="I388" s="9">
        <v>8926</v>
      </c>
      <c r="J388" s="10">
        <v>0.35</v>
      </c>
      <c r="K388" s="11">
        <f t="shared" si="3"/>
        <v>3124.1</v>
      </c>
      <c r="L388" s="6" t="s">
        <v>27</v>
      </c>
      <c r="M388" s="6" t="s">
        <v>25</v>
      </c>
      <c r="N388" s="6" t="s">
        <v>30</v>
      </c>
      <c r="O388" s="3"/>
      <c r="P388" s="4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6.5" customHeight="1" x14ac:dyDescent="0.3">
      <c r="A389" s="5">
        <v>45516</v>
      </c>
      <c r="B389" s="6" t="s">
        <v>72</v>
      </c>
      <c r="C389" s="6" t="s">
        <v>78</v>
      </c>
      <c r="D389" s="7" t="s">
        <v>62</v>
      </c>
      <c r="E389" s="6" t="s">
        <v>24</v>
      </c>
      <c r="F389" s="8" t="s">
        <v>25</v>
      </c>
      <c r="G389" s="8" t="str">
        <f t="shared" si="2"/>
        <v>Marketing</v>
      </c>
      <c r="H389" s="8" t="s">
        <v>42</v>
      </c>
      <c r="I389" s="9">
        <v>8360</v>
      </c>
      <c r="J389" s="10">
        <v>0.25</v>
      </c>
      <c r="K389" s="11">
        <f t="shared" si="3"/>
        <v>2090</v>
      </c>
      <c r="L389" s="6" t="s">
        <v>27</v>
      </c>
      <c r="M389" s="6" t="s">
        <v>25</v>
      </c>
      <c r="N389" s="6" t="s">
        <v>22</v>
      </c>
      <c r="O389" s="3"/>
      <c r="P389" s="4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6.5" customHeight="1" x14ac:dyDescent="0.3">
      <c r="A390" s="5">
        <v>45517</v>
      </c>
      <c r="B390" s="6" t="s">
        <v>72</v>
      </c>
      <c r="C390" s="6" t="s">
        <v>78</v>
      </c>
      <c r="D390" s="7" t="s">
        <v>36</v>
      </c>
      <c r="E390" s="6" t="s">
        <v>17</v>
      </c>
      <c r="F390" s="8" t="s">
        <v>39</v>
      </c>
      <c r="G390" s="8" t="str">
        <f t="shared" si="2"/>
        <v>Design</v>
      </c>
      <c r="H390" s="8" t="s">
        <v>29</v>
      </c>
      <c r="I390" s="9">
        <v>11824</v>
      </c>
      <c r="J390" s="10">
        <v>0.35</v>
      </c>
      <c r="K390" s="11">
        <f t="shared" si="3"/>
        <v>4138.3999999999996</v>
      </c>
      <c r="L390" s="6" t="s">
        <v>27</v>
      </c>
      <c r="M390" s="6" t="s">
        <v>46</v>
      </c>
      <c r="N390" s="6" t="s">
        <v>30</v>
      </c>
      <c r="O390" s="3"/>
      <c r="P390" s="4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6.5" customHeight="1" x14ac:dyDescent="0.3">
      <c r="A391" s="5">
        <v>45519</v>
      </c>
      <c r="B391" s="6" t="s">
        <v>72</v>
      </c>
      <c r="C391" s="6" t="s">
        <v>78</v>
      </c>
      <c r="D391" s="7" t="s">
        <v>63</v>
      </c>
      <c r="E391" s="6" t="s">
        <v>17</v>
      </c>
      <c r="F391" s="8" t="s">
        <v>41</v>
      </c>
      <c r="G391" s="8" t="str">
        <f t="shared" si="2"/>
        <v>Copywriting</v>
      </c>
      <c r="H391" s="8" t="s">
        <v>19</v>
      </c>
      <c r="I391" s="9">
        <v>8742</v>
      </c>
      <c r="J391" s="10">
        <v>0.25</v>
      </c>
      <c r="K391" s="11">
        <f t="shared" si="3"/>
        <v>2185.5</v>
      </c>
      <c r="L391" s="6" t="s">
        <v>20</v>
      </c>
      <c r="M391" s="6" t="s">
        <v>21</v>
      </c>
      <c r="N391" s="6" t="s">
        <v>37</v>
      </c>
      <c r="O391" s="3"/>
      <c r="P391" s="4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6.5" customHeight="1" x14ac:dyDescent="0.3">
      <c r="A392" s="5">
        <v>45521</v>
      </c>
      <c r="B392" s="6" t="s">
        <v>72</v>
      </c>
      <c r="C392" s="6" t="s">
        <v>78</v>
      </c>
      <c r="D392" s="7" t="s">
        <v>36</v>
      </c>
      <c r="E392" s="6" t="s">
        <v>17</v>
      </c>
      <c r="F392" s="8" t="s">
        <v>39</v>
      </c>
      <c r="G392" s="8" t="str">
        <f t="shared" si="2"/>
        <v>Design</v>
      </c>
      <c r="H392" s="8" t="s">
        <v>19</v>
      </c>
      <c r="I392" s="9">
        <v>10770</v>
      </c>
      <c r="J392" s="10">
        <v>0.35</v>
      </c>
      <c r="K392" s="11">
        <f t="shared" si="3"/>
        <v>3769.4999999999995</v>
      </c>
      <c r="L392" s="6" t="s">
        <v>20</v>
      </c>
      <c r="M392" s="6" t="s">
        <v>21</v>
      </c>
      <c r="N392" s="6" t="s">
        <v>22</v>
      </c>
      <c r="O392" s="3"/>
      <c r="P392" s="4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6.5" customHeight="1" x14ac:dyDescent="0.3">
      <c r="A393" s="5">
        <v>45522</v>
      </c>
      <c r="B393" s="6" t="s">
        <v>72</v>
      </c>
      <c r="C393" s="6" t="s">
        <v>78</v>
      </c>
      <c r="D393" s="7" t="s">
        <v>66</v>
      </c>
      <c r="E393" s="6" t="s">
        <v>24</v>
      </c>
      <c r="F393" s="8" t="s">
        <v>41</v>
      </c>
      <c r="G393" s="8" t="str">
        <f t="shared" si="2"/>
        <v>Copywriting</v>
      </c>
      <c r="H393" s="8" t="s">
        <v>19</v>
      </c>
      <c r="I393" s="9">
        <v>9302</v>
      </c>
      <c r="J393" s="10">
        <v>0.25</v>
      </c>
      <c r="K393" s="11">
        <f t="shared" si="3"/>
        <v>2325.5</v>
      </c>
      <c r="L393" s="6" t="s">
        <v>20</v>
      </c>
      <c r="M393" s="6" t="s">
        <v>25</v>
      </c>
      <c r="N393" s="6" t="s">
        <v>37</v>
      </c>
      <c r="O393" s="3"/>
      <c r="P393" s="4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6.5" customHeight="1" x14ac:dyDescent="0.3">
      <c r="A394" s="5">
        <v>45523</v>
      </c>
      <c r="B394" s="6" t="s">
        <v>72</v>
      </c>
      <c r="C394" s="6" t="s">
        <v>78</v>
      </c>
      <c r="D394" s="7" t="s">
        <v>44</v>
      </c>
      <c r="E394" s="6" t="s">
        <v>24</v>
      </c>
      <c r="F394" s="8" t="s">
        <v>25</v>
      </c>
      <c r="G394" s="8" t="str">
        <f t="shared" si="2"/>
        <v>Marketing</v>
      </c>
      <c r="H394" s="8" t="s">
        <v>33</v>
      </c>
      <c r="I394" s="9">
        <v>12168</v>
      </c>
      <c r="J394" s="10">
        <v>0.25</v>
      </c>
      <c r="K394" s="11">
        <f t="shared" si="3"/>
        <v>3042</v>
      </c>
      <c r="L394" s="6" t="s">
        <v>20</v>
      </c>
      <c r="M394" s="6" t="s">
        <v>46</v>
      </c>
      <c r="N394" s="6" t="s">
        <v>34</v>
      </c>
      <c r="O394" s="3"/>
      <c r="P394" s="4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6.5" customHeight="1" x14ac:dyDescent="0.3">
      <c r="A395" s="5">
        <v>45524</v>
      </c>
      <c r="B395" s="6" t="s">
        <v>72</v>
      </c>
      <c r="C395" s="6" t="s">
        <v>78</v>
      </c>
      <c r="D395" s="7" t="s">
        <v>51</v>
      </c>
      <c r="E395" s="6" t="s">
        <v>24</v>
      </c>
      <c r="F395" s="8" t="s">
        <v>25</v>
      </c>
      <c r="G395" s="8" t="str">
        <f t="shared" si="2"/>
        <v>Marketing</v>
      </c>
      <c r="H395" s="8" t="s">
        <v>29</v>
      </c>
      <c r="I395" s="9">
        <v>10185</v>
      </c>
      <c r="J395" s="10">
        <v>0.25</v>
      </c>
      <c r="K395" s="11">
        <f t="shared" si="3"/>
        <v>2546.25</v>
      </c>
      <c r="L395" s="6" t="s">
        <v>20</v>
      </c>
      <c r="M395" s="6" t="s">
        <v>46</v>
      </c>
      <c r="N395" s="6" t="s">
        <v>34</v>
      </c>
      <c r="O395" s="3"/>
      <c r="P395" s="4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6.5" customHeight="1" x14ac:dyDescent="0.3">
      <c r="A396" s="5">
        <v>45529</v>
      </c>
      <c r="B396" s="6" t="s">
        <v>72</v>
      </c>
      <c r="C396" s="6" t="s">
        <v>78</v>
      </c>
      <c r="D396" s="7" t="s">
        <v>31</v>
      </c>
      <c r="E396" s="6" t="s">
        <v>24</v>
      </c>
      <c r="F396" s="8" t="s">
        <v>41</v>
      </c>
      <c r="G396" s="8" t="str">
        <f t="shared" si="2"/>
        <v>Copywriting</v>
      </c>
      <c r="H396" s="8" t="s">
        <v>29</v>
      </c>
      <c r="I396" s="9">
        <v>8728</v>
      </c>
      <c r="J396" s="10">
        <v>0.25</v>
      </c>
      <c r="K396" s="11">
        <f t="shared" si="3"/>
        <v>2182</v>
      </c>
      <c r="L396" s="6" t="s">
        <v>27</v>
      </c>
      <c r="M396" s="6" t="s">
        <v>25</v>
      </c>
      <c r="N396" s="6" t="s">
        <v>30</v>
      </c>
      <c r="O396" s="3"/>
      <c r="P396" s="4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6.5" customHeight="1" x14ac:dyDescent="0.3">
      <c r="A397" s="5">
        <v>45530</v>
      </c>
      <c r="B397" s="6" t="s">
        <v>72</v>
      </c>
      <c r="C397" s="6" t="s">
        <v>78</v>
      </c>
      <c r="D397" s="7" t="s">
        <v>55</v>
      </c>
      <c r="E397" s="6" t="s">
        <v>24</v>
      </c>
      <c r="F397" s="8" t="s">
        <v>41</v>
      </c>
      <c r="G397" s="8" t="str">
        <f t="shared" si="2"/>
        <v>Copywriting</v>
      </c>
      <c r="H397" s="8" t="s">
        <v>29</v>
      </c>
      <c r="I397" s="9">
        <v>7600</v>
      </c>
      <c r="J397" s="10">
        <v>0.25</v>
      </c>
      <c r="K397" s="11">
        <f t="shared" si="3"/>
        <v>1900</v>
      </c>
      <c r="L397" s="6" t="s">
        <v>20</v>
      </c>
      <c r="M397" s="6" t="s">
        <v>46</v>
      </c>
      <c r="N397" s="6" t="s">
        <v>22</v>
      </c>
      <c r="O397" s="3"/>
      <c r="P397" s="4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6.5" customHeight="1" x14ac:dyDescent="0.3">
      <c r="A398" s="5">
        <v>45531</v>
      </c>
      <c r="B398" s="6" t="s">
        <v>72</v>
      </c>
      <c r="C398" s="6" t="s">
        <v>78</v>
      </c>
      <c r="D398" s="7" t="s">
        <v>52</v>
      </c>
      <c r="E398" s="6" t="s">
        <v>17</v>
      </c>
      <c r="F398" s="8" t="s">
        <v>25</v>
      </c>
      <c r="G398" s="8" t="str">
        <f t="shared" si="2"/>
        <v>Marketing</v>
      </c>
      <c r="H398" s="8" t="s">
        <v>29</v>
      </c>
      <c r="I398" s="9">
        <v>11230</v>
      </c>
      <c r="J398" s="10">
        <v>0.25</v>
      </c>
      <c r="K398" s="11">
        <f t="shared" si="3"/>
        <v>2807.5</v>
      </c>
      <c r="L398" s="6" t="s">
        <v>20</v>
      </c>
      <c r="M398" s="6" t="s">
        <v>21</v>
      </c>
      <c r="N398" s="6" t="s">
        <v>34</v>
      </c>
      <c r="O398" s="3"/>
      <c r="P398" s="4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6.5" customHeight="1" x14ac:dyDescent="0.3">
      <c r="A399" s="5">
        <v>45532</v>
      </c>
      <c r="B399" s="6" t="s">
        <v>72</v>
      </c>
      <c r="C399" s="6" t="s">
        <v>78</v>
      </c>
      <c r="D399" s="7" t="s">
        <v>63</v>
      </c>
      <c r="E399" s="6" t="s">
        <v>17</v>
      </c>
      <c r="F399" s="8" t="s">
        <v>32</v>
      </c>
      <c r="G399" s="8" t="str">
        <f t="shared" si="2"/>
        <v>Design</v>
      </c>
      <c r="H399" s="8" t="s">
        <v>29</v>
      </c>
      <c r="I399" s="9">
        <v>10417</v>
      </c>
      <c r="J399" s="10">
        <v>0.4</v>
      </c>
      <c r="K399" s="11">
        <f t="shared" si="3"/>
        <v>4166.8</v>
      </c>
      <c r="L399" s="6" t="s">
        <v>20</v>
      </c>
      <c r="M399" s="6" t="s">
        <v>21</v>
      </c>
      <c r="N399" s="6" t="s">
        <v>30</v>
      </c>
      <c r="O399" s="3"/>
      <c r="P399" s="4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6.5" customHeight="1" x14ac:dyDescent="0.3">
      <c r="A400" s="5">
        <v>45533</v>
      </c>
      <c r="B400" s="6" t="s">
        <v>72</v>
      </c>
      <c r="C400" s="6" t="s">
        <v>78</v>
      </c>
      <c r="D400" s="7" t="s">
        <v>36</v>
      </c>
      <c r="E400" s="6" t="s">
        <v>17</v>
      </c>
      <c r="F400" s="8" t="s">
        <v>41</v>
      </c>
      <c r="G400" s="8" t="str">
        <f t="shared" si="2"/>
        <v>Copywriting</v>
      </c>
      <c r="H400" s="8" t="s">
        <v>42</v>
      </c>
      <c r="I400" s="9">
        <v>12228</v>
      </c>
      <c r="J400" s="10">
        <v>0.25</v>
      </c>
      <c r="K400" s="11">
        <f t="shared" si="3"/>
        <v>3057</v>
      </c>
      <c r="L400" s="6" t="s">
        <v>20</v>
      </c>
      <c r="M400" s="6" t="s">
        <v>46</v>
      </c>
      <c r="N400" s="6" t="s">
        <v>22</v>
      </c>
      <c r="O400" s="3"/>
      <c r="P400" s="4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6.5" customHeight="1" x14ac:dyDescent="0.3">
      <c r="A401" s="5">
        <v>45534</v>
      </c>
      <c r="B401" s="6" t="s">
        <v>72</v>
      </c>
      <c r="C401" s="6" t="s">
        <v>78</v>
      </c>
      <c r="D401" s="7" t="s">
        <v>43</v>
      </c>
      <c r="E401" s="6" t="s">
        <v>24</v>
      </c>
      <c r="F401" s="8" t="s">
        <v>39</v>
      </c>
      <c r="G401" s="8" t="str">
        <f t="shared" si="2"/>
        <v>Design</v>
      </c>
      <c r="H401" s="8" t="s">
        <v>19</v>
      </c>
      <c r="I401" s="9">
        <v>7994</v>
      </c>
      <c r="J401" s="10">
        <v>0.35</v>
      </c>
      <c r="K401" s="11">
        <f t="shared" si="3"/>
        <v>2797.8999999999996</v>
      </c>
      <c r="L401" s="6" t="s">
        <v>27</v>
      </c>
      <c r="M401" s="6" t="s">
        <v>25</v>
      </c>
      <c r="N401" s="6" t="s">
        <v>30</v>
      </c>
      <c r="O401" s="3"/>
      <c r="P401" s="4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6.5" customHeight="1" x14ac:dyDescent="0.3">
      <c r="A402" s="5">
        <v>45536</v>
      </c>
      <c r="B402" s="6" t="s">
        <v>74</v>
      </c>
      <c r="C402" s="6" t="s">
        <v>78</v>
      </c>
      <c r="D402" s="7" t="s">
        <v>56</v>
      </c>
      <c r="E402" s="6" t="s">
        <v>17</v>
      </c>
      <c r="F402" s="8" t="s">
        <v>39</v>
      </c>
      <c r="G402" s="8" t="str">
        <f t="shared" si="2"/>
        <v>Design</v>
      </c>
      <c r="H402" s="8" t="s">
        <v>19</v>
      </c>
      <c r="I402" s="9">
        <v>7821</v>
      </c>
      <c r="J402" s="10">
        <v>0.35</v>
      </c>
      <c r="K402" s="11">
        <f t="shared" si="3"/>
        <v>2737.35</v>
      </c>
      <c r="L402" s="6" t="s">
        <v>27</v>
      </c>
      <c r="M402" s="6" t="s">
        <v>46</v>
      </c>
      <c r="N402" s="6" t="s">
        <v>34</v>
      </c>
      <c r="O402" s="3"/>
      <c r="P402" s="4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6.5" customHeight="1" x14ac:dyDescent="0.3">
      <c r="A403" s="5">
        <v>45536</v>
      </c>
      <c r="B403" s="6" t="s">
        <v>74</v>
      </c>
      <c r="C403" s="6" t="s">
        <v>78</v>
      </c>
      <c r="D403" s="7" t="s">
        <v>48</v>
      </c>
      <c r="E403" s="6" t="s">
        <v>17</v>
      </c>
      <c r="F403" s="8" t="s">
        <v>25</v>
      </c>
      <c r="G403" s="8" t="str">
        <f t="shared" si="2"/>
        <v>Marketing</v>
      </c>
      <c r="H403" s="8" t="s">
        <v>29</v>
      </c>
      <c r="I403" s="9">
        <v>8307</v>
      </c>
      <c r="J403" s="10">
        <v>0.25</v>
      </c>
      <c r="K403" s="11">
        <f t="shared" si="3"/>
        <v>2076.75</v>
      </c>
      <c r="L403" s="6" t="s">
        <v>20</v>
      </c>
      <c r="M403" s="6" t="s">
        <v>25</v>
      </c>
      <c r="N403" s="6" t="s">
        <v>22</v>
      </c>
      <c r="O403" s="3"/>
      <c r="P403" s="4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6.5" customHeight="1" x14ac:dyDescent="0.3">
      <c r="A404" s="5">
        <v>45536</v>
      </c>
      <c r="B404" s="6" t="s">
        <v>74</v>
      </c>
      <c r="C404" s="6" t="s">
        <v>78</v>
      </c>
      <c r="D404" s="7" t="s">
        <v>58</v>
      </c>
      <c r="E404" s="6" t="s">
        <v>24</v>
      </c>
      <c r="F404" s="8" t="s">
        <v>25</v>
      </c>
      <c r="G404" s="8" t="str">
        <f t="shared" si="2"/>
        <v>Marketing</v>
      </c>
      <c r="H404" s="8" t="s">
        <v>26</v>
      </c>
      <c r="I404" s="9">
        <v>12123</v>
      </c>
      <c r="J404" s="10">
        <v>0.25</v>
      </c>
      <c r="K404" s="11">
        <f t="shared" si="3"/>
        <v>3030.75</v>
      </c>
      <c r="L404" s="6" t="s">
        <v>27</v>
      </c>
      <c r="M404" s="6" t="s">
        <v>21</v>
      </c>
      <c r="N404" s="6" t="s">
        <v>37</v>
      </c>
      <c r="O404" s="3"/>
      <c r="P404" s="4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6.5" customHeight="1" x14ac:dyDescent="0.3">
      <c r="A405" s="5">
        <v>45537</v>
      </c>
      <c r="B405" s="6" t="s">
        <v>74</v>
      </c>
      <c r="C405" s="6" t="s">
        <v>78</v>
      </c>
      <c r="D405" s="7" t="s">
        <v>45</v>
      </c>
      <c r="E405" s="6" t="s">
        <v>17</v>
      </c>
      <c r="F405" s="8" t="s">
        <v>41</v>
      </c>
      <c r="G405" s="8" t="str">
        <f t="shared" si="2"/>
        <v>Copywriting</v>
      </c>
      <c r="H405" s="8" t="s">
        <v>33</v>
      </c>
      <c r="I405" s="9">
        <v>9011</v>
      </c>
      <c r="J405" s="10">
        <v>0.25</v>
      </c>
      <c r="K405" s="11">
        <f t="shared" si="3"/>
        <v>2252.75</v>
      </c>
      <c r="L405" s="6" t="s">
        <v>27</v>
      </c>
      <c r="M405" s="6" t="s">
        <v>46</v>
      </c>
      <c r="N405" s="6" t="s">
        <v>30</v>
      </c>
      <c r="O405" s="3"/>
      <c r="P405" s="4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6.5" customHeight="1" x14ac:dyDescent="0.3">
      <c r="A406" s="5">
        <v>45537</v>
      </c>
      <c r="B406" s="6" t="s">
        <v>74</v>
      </c>
      <c r="C406" s="6" t="s">
        <v>78</v>
      </c>
      <c r="D406" s="7" t="s">
        <v>44</v>
      </c>
      <c r="E406" s="6" t="s">
        <v>24</v>
      </c>
      <c r="F406" s="8" t="s">
        <v>32</v>
      </c>
      <c r="G406" s="8" t="str">
        <f t="shared" si="2"/>
        <v>Design</v>
      </c>
      <c r="H406" s="8" t="s">
        <v>33</v>
      </c>
      <c r="I406" s="9">
        <v>7838</v>
      </c>
      <c r="J406" s="10">
        <v>0.4</v>
      </c>
      <c r="K406" s="11">
        <f t="shared" si="3"/>
        <v>3135.2000000000003</v>
      </c>
      <c r="L406" s="6" t="s">
        <v>20</v>
      </c>
      <c r="M406" s="6" t="s">
        <v>46</v>
      </c>
      <c r="N406" s="6" t="s">
        <v>22</v>
      </c>
      <c r="O406" s="3"/>
      <c r="P406" s="4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6.5" customHeight="1" x14ac:dyDescent="0.3">
      <c r="A407" s="5">
        <v>45539</v>
      </c>
      <c r="B407" s="6" t="s">
        <v>74</v>
      </c>
      <c r="C407" s="6" t="s">
        <v>78</v>
      </c>
      <c r="D407" s="7" t="s">
        <v>50</v>
      </c>
      <c r="E407" s="6" t="s">
        <v>17</v>
      </c>
      <c r="F407" s="8" t="s">
        <v>41</v>
      </c>
      <c r="G407" s="8" t="str">
        <f t="shared" si="2"/>
        <v>Copywriting</v>
      </c>
      <c r="H407" s="8" t="s">
        <v>29</v>
      </c>
      <c r="I407" s="9">
        <v>8749</v>
      </c>
      <c r="J407" s="10">
        <v>0.25</v>
      </c>
      <c r="K407" s="11">
        <f t="shared" si="3"/>
        <v>2187.25</v>
      </c>
      <c r="L407" s="6" t="s">
        <v>27</v>
      </c>
      <c r="M407" s="6" t="s">
        <v>25</v>
      </c>
      <c r="N407" s="6" t="s">
        <v>37</v>
      </c>
      <c r="O407" s="3"/>
      <c r="P407" s="4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6.5" customHeight="1" x14ac:dyDescent="0.3">
      <c r="A408" s="5">
        <v>45540</v>
      </c>
      <c r="B408" s="6" t="s">
        <v>74</v>
      </c>
      <c r="C408" s="6" t="s">
        <v>78</v>
      </c>
      <c r="D408" s="7" t="s">
        <v>62</v>
      </c>
      <c r="E408" s="6" t="s">
        <v>24</v>
      </c>
      <c r="F408" s="8" t="s">
        <v>18</v>
      </c>
      <c r="G408" s="8" t="str">
        <f t="shared" si="2"/>
        <v>Marketing</v>
      </c>
      <c r="H408" s="8" t="s">
        <v>33</v>
      </c>
      <c r="I408" s="9">
        <v>10186</v>
      </c>
      <c r="J408" s="10">
        <v>0.3</v>
      </c>
      <c r="K408" s="11">
        <f t="shared" si="3"/>
        <v>3055.7999999999997</v>
      </c>
      <c r="L408" s="6" t="s">
        <v>27</v>
      </c>
      <c r="M408" s="6" t="s">
        <v>46</v>
      </c>
      <c r="N408" s="6" t="s">
        <v>37</v>
      </c>
      <c r="O408" s="3"/>
      <c r="P408" s="4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6.5" customHeight="1" x14ac:dyDescent="0.3">
      <c r="A409" s="5">
        <v>45542</v>
      </c>
      <c r="B409" s="6" t="s">
        <v>74</v>
      </c>
      <c r="C409" s="6" t="s">
        <v>78</v>
      </c>
      <c r="D409" s="7" t="s">
        <v>56</v>
      </c>
      <c r="E409" s="6" t="s">
        <v>17</v>
      </c>
      <c r="F409" s="8" t="s">
        <v>41</v>
      </c>
      <c r="G409" s="8" t="str">
        <f t="shared" si="2"/>
        <v>Copywriting</v>
      </c>
      <c r="H409" s="8" t="s">
        <v>42</v>
      </c>
      <c r="I409" s="9">
        <v>10716</v>
      </c>
      <c r="J409" s="10">
        <v>0.25</v>
      </c>
      <c r="K409" s="11">
        <f t="shared" si="3"/>
        <v>2679</v>
      </c>
      <c r="L409" s="6" t="s">
        <v>20</v>
      </c>
      <c r="M409" s="6" t="s">
        <v>25</v>
      </c>
      <c r="N409" s="6" t="s">
        <v>30</v>
      </c>
      <c r="O409" s="3"/>
      <c r="P409" s="4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6.5" customHeight="1" x14ac:dyDescent="0.3">
      <c r="A410" s="5">
        <v>45543</v>
      </c>
      <c r="B410" s="6" t="s">
        <v>74</v>
      </c>
      <c r="C410" s="6" t="s">
        <v>78</v>
      </c>
      <c r="D410" s="7" t="s">
        <v>79</v>
      </c>
      <c r="E410" s="6" t="s">
        <v>24</v>
      </c>
      <c r="F410" s="8" t="s">
        <v>39</v>
      </c>
      <c r="G410" s="8" t="str">
        <f t="shared" si="2"/>
        <v>Design</v>
      </c>
      <c r="H410" s="8" t="s">
        <v>19</v>
      </c>
      <c r="I410" s="9">
        <v>7772</v>
      </c>
      <c r="J410" s="10">
        <v>0.35</v>
      </c>
      <c r="K410" s="11">
        <f t="shared" si="3"/>
        <v>2720.2</v>
      </c>
      <c r="L410" s="6" t="s">
        <v>20</v>
      </c>
      <c r="M410" s="6" t="s">
        <v>25</v>
      </c>
      <c r="N410" s="6" t="s">
        <v>34</v>
      </c>
      <c r="O410" s="3"/>
      <c r="P410" s="4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6.5" customHeight="1" x14ac:dyDescent="0.3">
      <c r="A411" s="5">
        <v>45543</v>
      </c>
      <c r="B411" s="6" t="s">
        <v>74</v>
      </c>
      <c r="C411" s="6" t="s">
        <v>78</v>
      </c>
      <c r="D411" s="7" t="s">
        <v>57</v>
      </c>
      <c r="E411" s="6" t="s">
        <v>24</v>
      </c>
      <c r="F411" s="8" t="s">
        <v>18</v>
      </c>
      <c r="G411" s="8" t="str">
        <f t="shared" si="2"/>
        <v>Marketing</v>
      </c>
      <c r="H411" s="8" t="s">
        <v>33</v>
      </c>
      <c r="I411" s="9">
        <v>10727</v>
      </c>
      <c r="J411" s="10">
        <v>0.3</v>
      </c>
      <c r="K411" s="11">
        <f t="shared" si="3"/>
        <v>3218.1</v>
      </c>
      <c r="L411" s="6" t="s">
        <v>20</v>
      </c>
      <c r="M411" s="6" t="s">
        <v>25</v>
      </c>
      <c r="N411" s="6" t="s">
        <v>34</v>
      </c>
      <c r="O411" s="3"/>
      <c r="P411" s="4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6.5" customHeight="1" x14ac:dyDescent="0.3">
      <c r="A412" s="5">
        <v>45544</v>
      </c>
      <c r="B412" s="6" t="s">
        <v>74</v>
      </c>
      <c r="C412" s="6" t="s">
        <v>78</v>
      </c>
      <c r="D412" s="7" t="s">
        <v>45</v>
      </c>
      <c r="E412" s="6" t="s">
        <v>17</v>
      </c>
      <c r="F412" s="8" t="s">
        <v>18</v>
      </c>
      <c r="G412" s="8" t="str">
        <f t="shared" si="2"/>
        <v>Marketing</v>
      </c>
      <c r="H412" s="8" t="s">
        <v>33</v>
      </c>
      <c r="I412" s="9">
        <v>9692</v>
      </c>
      <c r="J412" s="10">
        <v>0.3</v>
      </c>
      <c r="K412" s="11">
        <f t="shared" si="3"/>
        <v>2907.6</v>
      </c>
      <c r="L412" s="6" t="s">
        <v>27</v>
      </c>
      <c r="M412" s="6" t="s">
        <v>21</v>
      </c>
      <c r="N412" s="6" t="s">
        <v>37</v>
      </c>
      <c r="O412" s="3"/>
      <c r="P412" s="4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6.5" customHeight="1" x14ac:dyDescent="0.3">
      <c r="A413" s="5">
        <v>45544</v>
      </c>
      <c r="B413" s="6" t="s">
        <v>74</v>
      </c>
      <c r="C413" s="6" t="s">
        <v>78</v>
      </c>
      <c r="D413" s="7" t="s">
        <v>31</v>
      </c>
      <c r="E413" s="6" t="s">
        <v>24</v>
      </c>
      <c r="F413" s="8" t="s">
        <v>25</v>
      </c>
      <c r="G413" s="8" t="str">
        <f t="shared" si="2"/>
        <v>Marketing</v>
      </c>
      <c r="H413" s="8" t="s">
        <v>26</v>
      </c>
      <c r="I413" s="9">
        <v>7719</v>
      </c>
      <c r="J413" s="10">
        <v>0.25</v>
      </c>
      <c r="K413" s="11">
        <f t="shared" si="3"/>
        <v>1929.75</v>
      </c>
      <c r="L413" s="6" t="s">
        <v>20</v>
      </c>
      <c r="M413" s="6" t="s">
        <v>21</v>
      </c>
      <c r="N413" s="6" t="s">
        <v>37</v>
      </c>
      <c r="O413" s="3"/>
      <c r="P413" s="4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6.5" customHeight="1" x14ac:dyDescent="0.3">
      <c r="A414" s="5">
        <v>45546</v>
      </c>
      <c r="B414" s="6" t="s">
        <v>74</v>
      </c>
      <c r="C414" s="6" t="s">
        <v>78</v>
      </c>
      <c r="D414" s="7" t="s">
        <v>66</v>
      </c>
      <c r="E414" s="6" t="s">
        <v>24</v>
      </c>
      <c r="F414" s="8" t="s">
        <v>32</v>
      </c>
      <c r="G414" s="8" t="str">
        <f t="shared" si="2"/>
        <v>Design</v>
      </c>
      <c r="H414" s="8" t="s">
        <v>29</v>
      </c>
      <c r="I414" s="9">
        <v>10696</v>
      </c>
      <c r="J414" s="10">
        <v>0.4</v>
      </c>
      <c r="K414" s="11">
        <f t="shared" si="3"/>
        <v>4278.4000000000005</v>
      </c>
      <c r="L414" s="6" t="s">
        <v>27</v>
      </c>
      <c r="M414" s="6" t="s">
        <v>21</v>
      </c>
      <c r="N414" s="6" t="s">
        <v>22</v>
      </c>
      <c r="O414" s="3"/>
      <c r="P414" s="4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6.5" customHeight="1" x14ac:dyDescent="0.3">
      <c r="A415" s="5">
        <v>45552</v>
      </c>
      <c r="B415" s="6" t="s">
        <v>74</v>
      </c>
      <c r="C415" s="6" t="s">
        <v>78</v>
      </c>
      <c r="D415" s="7" t="s">
        <v>45</v>
      </c>
      <c r="E415" s="6" t="s">
        <v>17</v>
      </c>
      <c r="F415" s="8" t="s">
        <v>39</v>
      </c>
      <c r="G415" s="8" t="str">
        <f t="shared" si="2"/>
        <v>Design</v>
      </c>
      <c r="H415" s="8" t="s">
        <v>42</v>
      </c>
      <c r="I415" s="9">
        <v>8937</v>
      </c>
      <c r="J415" s="10">
        <v>0.35</v>
      </c>
      <c r="K415" s="11">
        <f t="shared" si="3"/>
        <v>3127.95</v>
      </c>
      <c r="L415" s="6" t="s">
        <v>20</v>
      </c>
      <c r="M415" s="6" t="s">
        <v>21</v>
      </c>
      <c r="N415" s="6" t="s">
        <v>30</v>
      </c>
      <c r="O415" s="3"/>
      <c r="P415" s="4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6.5" customHeight="1" x14ac:dyDescent="0.3">
      <c r="A416" s="5">
        <v>45556</v>
      </c>
      <c r="B416" s="6" t="s">
        <v>74</v>
      </c>
      <c r="C416" s="6" t="s">
        <v>78</v>
      </c>
      <c r="D416" s="7" t="s">
        <v>51</v>
      </c>
      <c r="E416" s="6" t="s">
        <v>24</v>
      </c>
      <c r="F416" s="8" t="s">
        <v>41</v>
      </c>
      <c r="G416" s="8" t="str">
        <f t="shared" si="2"/>
        <v>Copywriting</v>
      </c>
      <c r="H416" s="8" t="s">
        <v>26</v>
      </c>
      <c r="I416" s="9">
        <v>8073</v>
      </c>
      <c r="J416" s="10">
        <v>0.25</v>
      </c>
      <c r="K416" s="11">
        <f t="shared" si="3"/>
        <v>2018.25</v>
      </c>
      <c r="L416" s="6" t="s">
        <v>27</v>
      </c>
      <c r="M416" s="6" t="s">
        <v>21</v>
      </c>
      <c r="N416" s="6" t="s">
        <v>37</v>
      </c>
      <c r="O416" s="3"/>
      <c r="P416" s="4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6.5" customHeight="1" x14ac:dyDescent="0.3">
      <c r="A417" s="5">
        <v>45558</v>
      </c>
      <c r="B417" s="6" t="s">
        <v>74</v>
      </c>
      <c r="C417" s="6" t="s">
        <v>78</v>
      </c>
      <c r="D417" s="7" t="s">
        <v>79</v>
      </c>
      <c r="E417" s="6" t="s">
        <v>24</v>
      </c>
      <c r="F417" s="8" t="s">
        <v>41</v>
      </c>
      <c r="G417" s="8" t="str">
        <f t="shared" si="2"/>
        <v>Copywriting</v>
      </c>
      <c r="H417" s="8" t="s">
        <v>42</v>
      </c>
      <c r="I417" s="9">
        <v>8022</v>
      </c>
      <c r="J417" s="10">
        <v>0.25</v>
      </c>
      <c r="K417" s="11">
        <f t="shared" si="3"/>
        <v>2005.5</v>
      </c>
      <c r="L417" s="6" t="s">
        <v>20</v>
      </c>
      <c r="M417" s="6" t="s">
        <v>25</v>
      </c>
      <c r="N417" s="6" t="s">
        <v>34</v>
      </c>
      <c r="O417" s="3"/>
      <c r="P417" s="4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6.5" customHeight="1" x14ac:dyDescent="0.3">
      <c r="A418" s="5">
        <v>45562</v>
      </c>
      <c r="B418" s="6" t="s">
        <v>74</v>
      </c>
      <c r="C418" s="6" t="s">
        <v>78</v>
      </c>
      <c r="D418" s="7" t="s">
        <v>64</v>
      </c>
      <c r="E418" s="6" t="s">
        <v>17</v>
      </c>
      <c r="F418" s="8" t="s">
        <v>25</v>
      </c>
      <c r="G418" s="8" t="str">
        <f t="shared" si="2"/>
        <v>Marketing</v>
      </c>
      <c r="H418" s="8" t="s">
        <v>29</v>
      </c>
      <c r="I418" s="9">
        <v>8595</v>
      </c>
      <c r="J418" s="10">
        <v>0.25</v>
      </c>
      <c r="K418" s="11">
        <f t="shared" si="3"/>
        <v>2148.75</v>
      </c>
      <c r="L418" s="6" t="s">
        <v>20</v>
      </c>
      <c r="M418" s="6" t="s">
        <v>21</v>
      </c>
      <c r="N418" s="6" t="s">
        <v>30</v>
      </c>
      <c r="O418" s="3"/>
      <c r="P418" s="4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6.5" customHeight="1" x14ac:dyDescent="0.3">
      <c r="A419" s="5">
        <v>45562</v>
      </c>
      <c r="B419" s="6" t="s">
        <v>74</v>
      </c>
      <c r="C419" s="6" t="s">
        <v>78</v>
      </c>
      <c r="D419" s="7" t="s">
        <v>58</v>
      </c>
      <c r="E419" s="6" t="s">
        <v>24</v>
      </c>
      <c r="F419" s="8" t="s">
        <v>32</v>
      </c>
      <c r="G419" s="8" t="str">
        <f t="shared" si="2"/>
        <v>Design</v>
      </c>
      <c r="H419" s="8" t="s">
        <v>29</v>
      </c>
      <c r="I419" s="9">
        <v>11394</v>
      </c>
      <c r="J419" s="10">
        <v>0.4</v>
      </c>
      <c r="K419" s="11">
        <f t="shared" si="3"/>
        <v>4557.6000000000004</v>
      </c>
      <c r="L419" s="6" t="s">
        <v>20</v>
      </c>
      <c r="M419" s="6" t="s">
        <v>46</v>
      </c>
      <c r="N419" s="6" t="s">
        <v>30</v>
      </c>
      <c r="O419" s="3"/>
      <c r="P419" s="4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6.5" customHeight="1" x14ac:dyDescent="0.3">
      <c r="A420" s="5">
        <v>45563</v>
      </c>
      <c r="B420" s="6" t="s">
        <v>74</v>
      </c>
      <c r="C420" s="6" t="s">
        <v>78</v>
      </c>
      <c r="D420" s="7" t="s">
        <v>52</v>
      </c>
      <c r="E420" s="6" t="s">
        <v>17</v>
      </c>
      <c r="F420" s="8" t="s">
        <v>41</v>
      </c>
      <c r="G420" s="8" t="str">
        <f t="shared" si="2"/>
        <v>Copywriting</v>
      </c>
      <c r="H420" s="8" t="s">
        <v>42</v>
      </c>
      <c r="I420" s="9">
        <v>10952</v>
      </c>
      <c r="J420" s="10">
        <v>0.25</v>
      </c>
      <c r="K420" s="11">
        <f t="shared" si="3"/>
        <v>2738</v>
      </c>
      <c r="L420" s="6" t="s">
        <v>20</v>
      </c>
      <c r="M420" s="6" t="s">
        <v>46</v>
      </c>
      <c r="N420" s="6" t="s">
        <v>22</v>
      </c>
      <c r="O420" s="3"/>
      <c r="P420" s="4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6.5" customHeight="1" x14ac:dyDescent="0.3">
      <c r="A421" s="5">
        <v>45564</v>
      </c>
      <c r="B421" s="6" t="s">
        <v>74</v>
      </c>
      <c r="C421" s="6" t="s">
        <v>78</v>
      </c>
      <c r="D421" s="7" t="s">
        <v>50</v>
      </c>
      <c r="E421" s="6" t="s">
        <v>17</v>
      </c>
      <c r="F421" s="8" t="s">
        <v>39</v>
      </c>
      <c r="G421" s="8" t="str">
        <f t="shared" si="2"/>
        <v>Design</v>
      </c>
      <c r="H421" s="8" t="s">
        <v>26</v>
      </c>
      <c r="I421" s="9">
        <v>10647</v>
      </c>
      <c r="J421" s="10">
        <v>0.35</v>
      </c>
      <c r="K421" s="11">
        <f t="shared" si="3"/>
        <v>3726.45</v>
      </c>
      <c r="L421" s="6" t="s">
        <v>27</v>
      </c>
      <c r="M421" s="6" t="s">
        <v>21</v>
      </c>
      <c r="N421" s="6" t="s">
        <v>34</v>
      </c>
      <c r="O421" s="3"/>
      <c r="P421" s="4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6.5" customHeight="1" x14ac:dyDescent="0.3">
      <c r="A422" s="5">
        <v>45567</v>
      </c>
      <c r="B422" s="6" t="s">
        <v>75</v>
      </c>
      <c r="C422" s="6" t="s">
        <v>78</v>
      </c>
      <c r="D422" s="7" t="s">
        <v>36</v>
      </c>
      <c r="E422" s="6" t="s">
        <v>17</v>
      </c>
      <c r="F422" s="8" t="s">
        <v>39</v>
      </c>
      <c r="G422" s="8" t="str">
        <f t="shared" si="2"/>
        <v>Design</v>
      </c>
      <c r="H422" s="8" t="s">
        <v>29</v>
      </c>
      <c r="I422" s="9">
        <v>12237</v>
      </c>
      <c r="J422" s="10">
        <v>0.35</v>
      </c>
      <c r="K422" s="11">
        <f t="shared" si="3"/>
        <v>4282.95</v>
      </c>
      <c r="L422" s="6" t="s">
        <v>27</v>
      </c>
      <c r="M422" s="6" t="s">
        <v>46</v>
      </c>
      <c r="N422" s="6" t="s">
        <v>34</v>
      </c>
      <c r="O422" s="3"/>
      <c r="P422" s="4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6.5" customHeight="1" x14ac:dyDescent="0.3">
      <c r="A423" s="5">
        <v>45570</v>
      </c>
      <c r="B423" s="6" t="s">
        <v>75</v>
      </c>
      <c r="C423" s="6" t="s">
        <v>78</v>
      </c>
      <c r="D423" s="7" t="s">
        <v>70</v>
      </c>
      <c r="E423" s="6" t="s">
        <v>24</v>
      </c>
      <c r="F423" s="8" t="s">
        <v>32</v>
      </c>
      <c r="G423" s="8" t="str">
        <f t="shared" si="2"/>
        <v>Design</v>
      </c>
      <c r="H423" s="8" t="s">
        <v>29</v>
      </c>
      <c r="I423" s="9">
        <v>7697</v>
      </c>
      <c r="J423" s="10">
        <v>0.4</v>
      </c>
      <c r="K423" s="11">
        <f t="shared" si="3"/>
        <v>3078.8</v>
      </c>
      <c r="L423" s="6" t="s">
        <v>20</v>
      </c>
      <c r="M423" s="6" t="s">
        <v>21</v>
      </c>
      <c r="N423" s="6" t="s">
        <v>34</v>
      </c>
      <c r="O423" s="3"/>
      <c r="P423" s="4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6.5" customHeight="1" x14ac:dyDescent="0.3">
      <c r="A424" s="5">
        <v>45573</v>
      </c>
      <c r="B424" s="6" t="s">
        <v>75</v>
      </c>
      <c r="C424" s="6" t="s">
        <v>78</v>
      </c>
      <c r="D424" s="7" t="s">
        <v>40</v>
      </c>
      <c r="E424" s="6" t="s">
        <v>17</v>
      </c>
      <c r="F424" s="8" t="s">
        <v>39</v>
      </c>
      <c r="G424" s="8" t="str">
        <f t="shared" si="2"/>
        <v>Design</v>
      </c>
      <c r="H424" s="8" t="s">
        <v>19</v>
      </c>
      <c r="I424" s="9">
        <v>10561</v>
      </c>
      <c r="J424" s="10">
        <v>0.35</v>
      </c>
      <c r="K424" s="11">
        <f t="shared" si="3"/>
        <v>3696.35</v>
      </c>
      <c r="L424" s="6" t="s">
        <v>27</v>
      </c>
      <c r="M424" s="6" t="s">
        <v>46</v>
      </c>
      <c r="N424" s="6" t="s">
        <v>34</v>
      </c>
      <c r="O424" s="3"/>
      <c r="P424" s="4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6.5" customHeight="1" x14ac:dyDescent="0.3">
      <c r="A425" s="5">
        <v>45574</v>
      </c>
      <c r="B425" s="6" t="s">
        <v>75</v>
      </c>
      <c r="C425" s="6" t="s">
        <v>78</v>
      </c>
      <c r="D425" s="7" t="s">
        <v>52</v>
      </c>
      <c r="E425" s="6" t="s">
        <v>17</v>
      </c>
      <c r="F425" s="8" t="s">
        <v>39</v>
      </c>
      <c r="G425" s="8" t="str">
        <f t="shared" si="2"/>
        <v>Design</v>
      </c>
      <c r="H425" s="8" t="s">
        <v>26</v>
      </c>
      <c r="I425" s="9">
        <v>9113</v>
      </c>
      <c r="J425" s="10">
        <v>0.35</v>
      </c>
      <c r="K425" s="11">
        <f t="shared" si="3"/>
        <v>3189.5499999999997</v>
      </c>
      <c r="L425" s="6" t="s">
        <v>20</v>
      </c>
      <c r="M425" s="6" t="s">
        <v>46</v>
      </c>
      <c r="N425" s="6" t="s">
        <v>37</v>
      </c>
      <c r="O425" s="3"/>
      <c r="P425" s="4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6.5" customHeight="1" x14ac:dyDescent="0.3">
      <c r="A426" s="5">
        <v>45577</v>
      </c>
      <c r="B426" s="6" t="s">
        <v>75</v>
      </c>
      <c r="C426" s="6" t="s">
        <v>78</v>
      </c>
      <c r="D426" s="7" t="s">
        <v>28</v>
      </c>
      <c r="E426" s="6" t="s">
        <v>24</v>
      </c>
      <c r="F426" s="8" t="s">
        <v>39</v>
      </c>
      <c r="G426" s="8" t="str">
        <f t="shared" si="2"/>
        <v>Design</v>
      </c>
      <c r="H426" s="8" t="s">
        <v>42</v>
      </c>
      <c r="I426" s="9">
        <v>11072</v>
      </c>
      <c r="J426" s="10">
        <v>0.35</v>
      </c>
      <c r="K426" s="11">
        <f t="shared" si="3"/>
        <v>3875.2</v>
      </c>
      <c r="L426" s="6" t="s">
        <v>20</v>
      </c>
      <c r="M426" s="6" t="s">
        <v>46</v>
      </c>
      <c r="N426" s="6" t="s">
        <v>22</v>
      </c>
      <c r="O426" s="3"/>
      <c r="P426" s="4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6.5" customHeight="1" x14ac:dyDescent="0.3">
      <c r="A427" s="5">
        <v>45578</v>
      </c>
      <c r="B427" s="6" t="s">
        <v>75</v>
      </c>
      <c r="C427" s="6" t="s">
        <v>78</v>
      </c>
      <c r="D427" s="7" t="s">
        <v>36</v>
      </c>
      <c r="E427" s="6" t="s">
        <v>17</v>
      </c>
      <c r="F427" s="8" t="s">
        <v>41</v>
      </c>
      <c r="G427" s="8" t="str">
        <f t="shared" si="2"/>
        <v>Copywriting</v>
      </c>
      <c r="H427" s="8" t="s">
        <v>33</v>
      </c>
      <c r="I427" s="9">
        <v>11431</v>
      </c>
      <c r="J427" s="10">
        <v>0.25</v>
      </c>
      <c r="K427" s="11">
        <f t="shared" si="3"/>
        <v>2857.75</v>
      </c>
      <c r="L427" s="6" t="s">
        <v>20</v>
      </c>
      <c r="M427" s="6" t="s">
        <v>25</v>
      </c>
      <c r="N427" s="6" t="s">
        <v>22</v>
      </c>
      <c r="O427" s="3"/>
      <c r="P427" s="4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6.5" customHeight="1" x14ac:dyDescent="0.3">
      <c r="A428" s="5">
        <v>45578</v>
      </c>
      <c r="B428" s="6" t="s">
        <v>75</v>
      </c>
      <c r="C428" s="6" t="s">
        <v>78</v>
      </c>
      <c r="D428" s="7" t="s">
        <v>45</v>
      </c>
      <c r="E428" s="6" t="s">
        <v>17</v>
      </c>
      <c r="F428" s="8" t="s">
        <v>41</v>
      </c>
      <c r="G428" s="8" t="str">
        <f t="shared" si="2"/>
        <v>Copywriting</v>
      </c>
      <c r="H428" s="8" t="s">
        <v>29</v>
      </c>
      <c r="I428" s="9">
        <v>8292</v>
      </c>
      <c r="J428" s="10">
        <v>0.25</v>
      </c>
      <c r="K428" s="11">
        <f t="shared" si="3"/>
        <v>2073</v>
      </c>
      <c r="L428" s="6" t="s">
        <v>27</v>
      </c>
      <c r="M428" s="6" t="s">
        <v>46</v>
      </c>
      <c r="N428" s="6" t="s">
        <v>22</v>
      </c>
      <c r="O428" s="3"/>
      <c r="P428" s="4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6.5" customHeight="1" x14ac:dyDescent="0.3">
      <c r="A429" s="5">
        <v>45581</v>
      </c>
      <c r="B429" s="6" t="s">
        <v>75</v>
      </c>
      <c r="C429" s="6" t="s">
        <v>78</v>
      </c>
      <c r="D429" s="7" t="s">
        <v>36</v>
      </c>
      <c r="E429" s="6" t="s">
        <v>17</v>
      </c>
      <c r="F429" s="8" t="s">
        <v>32</v>
      </c>
      <c r="G429" s="8" t="str">
        <f t="shared" si="2"/>
        <v>Design</v>
      </c>
      <c r="H429" s="8" t="s">
        <v>33</v>
      </c>
      <c r="I429" s="9">
        <v>9766</v>
      </c>
      <c r="J429" s="10">
        <v>0.4</v>
      </c>
      <c r="K429" s="11">
        <f t="shared" si="3"/>
        <v>3906.4</v>
      </c>
      <c r="L429" s="6" t="s">
        <v>20</v>
      </c>
      <c r="M429" s="6" t="s">
        <v>21</v>
      </c>
      <c r="N429" s="6" t="s">
        <v>37</v>
      </c>
      <c r="O429" s="3"/>
      <c r="P429" s="4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6.5" customHeight="1" x14ac:dyDescent="0.3">
      <c r="A430" s="5">
        <v>45582</v>
      </c>
      <c r="B430" s="6" t="s">
        <v>75</v>
      </c>
      <c r="C430" s="6" t="s">
        <v>78</v>
      </c>
      <c r="D430" s="7" t="s">
        <v>63</v>
      </c>
      <c r="E430" s="6" t="s">
        <v>17</v>
      </c>
      <c r="F430" s="8" t="s">
        <v>25</v>
      </c>
      <c r="G430" s="8" t="str">
        <f t="shared" si="2"/>
        <v>Marketing</v>
      </c>
      <c r="H430" s="8" t="s">
        <v>29</v>
      </c>
      <c r="I430" s="9">
        <v>12273</v>
      </c>
      <c r="J430" s="10">
        <v>0.25</v>
      </c>
      <c r="K430" s="11">
        <f t="shared" si="3"/>
        <v>3068.25</v>
      </c>
      <c r="L430" s="6" t="s">
        <v>20</v>
      </c>
      <c r="M430" s="6" t="s">
        <v>46</v>
      </c>
      <c r="N430" s="6" t="s">
        <v>30</v>
      </c>
      <c r="O430" s="3"/>
      <c r="P430" s="4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6.5" customHeight="1" x14ac:dyDescent="0.3">
      <c r="A431" s="5">
        <v>45583</v>
      </c>
      <c r="B431" s="6" t="s">
        <v>75</v>
      </c>
      <c r="C431" s="6" t="s">
        <v>78</v>
      </c>
      <c r="D431" s="7" t="s">
        <v>50</v>
      </c>
      <c r="E431" s="6" t="s">
        <v>17</v>
      </c>
      <c r="F431" s="8" t="s">
        <v>39</v>
      </c>
      <c r="G431" s="8" t="str">
        <f t="shared" si="2"/>
        <v>Design</v>
      </c>
      <c r="H431" s="8" t="s">
        <v>29</v>
      </c>
      <c r="I431" s="9">
        <v>9992</v>
      </c>
      <c r="J431" s="10">
        <v>0.35</v>
      </c>
      <c r="K431" s="11">
        <f t="shared" si="3"/>
        <v>3497.2</v>
      </c>
      <c r="L431" s="6" t="s">
        <v>20</v>
      </c>
      <c r="M431" s="6" t="s">
        <v>21</v>
      </c>
      <c r="N431" s="6" t="s">
        <v>30</v>
      </c>
      <c r="O431" s="3"/>
      <c r="P431" s="4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6.5" customHeight="1" x14ac:dyDescent="0.3">
      <c r="A432" s="5">
        <v>45584</v>
      </c>
      <c r="B432" s="6" t="s">
        <v>75</v>
      </c>
      <c r="C432" s="6" t="s">
        <v>78</v>
      </c>
      <c r="D432" s="7" t="s">
        <v>60</v>
      </c>
      <c r="E432" s="6" t="s">
        <v>24</v>
      </c>
      <c r="F432" s="8" t="s">
        <v>32</v>
      </c>
      <c r="G432" s="8" t="str">
        <f t="shared" si="2"/>
        <v>Design</v>
      </c>
      <c r="H432" s="8" t="s">
        <v>19</v>
      </c>
      <c r="I432" s="9">
        <v>9750</v>
      </c>
      <c r="J432" s="10">
        <v>0.4</v>
      </c>
      <c r="K432" s="11">
        <f t="shared" si="3"/>
        <v>3900</v>
      </c>
      <c r="L432" s="6" t="s">
        <v>27</v>
      </c>
      <c r="M432" s="6" t="s">
        <v>46</v>
      </c>
      <c r="N432" s="6" t="s">
        <v>22</v>
      </c>
      <c r="O432" s="3"/>
      <c r="P432" s="4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6.5" customHeight="1" x14ac:dyDescent="0.3">
      <c r="A433" s="5">
        <v>45587</v>
      </c>
      <c r="B433" s="6" t="s">
        <v>75</v>
      </c>
      <c r="C433" s="6" t="s">
        <v>78</v>
      </c>
      <c r="D433" s="7" t="s">
        <v>59</v>
      </c>
      <c r="E433" s="6" t="s">
        <v>24</v>
      </c>
      <c r="F433" s="8" t="s">
        <v>41</v>
      </c>
      <c r="G433" s="8" t="str">
        <f t="shared" si="2"/>
        <v>Copywriting</v>
      </c>
      <c r="H433" s="8" t="s">
        <v>26</v>
      </c>
      <c r="I433" s="9">
        <v>12051</v>
      </c>
      <c r="J433" s="10">
        <v>0.25</v>
      </c>
      <c r="K433" s="11">
        <f t="shared" si="3"/>
        <v>3012.75</v>
      </c>
      <c r="L433" s="6" t="s">
        <v>27</v>
      </c>
      <c r="M433" s="6" t="s">
        <v>25</v>
      </c>
      <c r="N433" s="6" t="s">
        <v>37</v>
      </c>
      <c r="O433" s="3"/>
      <c r="P433" s="4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6.5" customHeight="1" x14ac:dyDescent="0.3">
      <c r="A434" s="5">
        <v>45587</v>
      </c>
      <c r="B434" s="6" t="s">
        <v>75</v>
      </c>
      <c r="C434" s="6" t="s">
        <v>78</v>
      </c>
      <c r="D434" s="7" t="s">
        <v>47</v>
      </c>
      <c r="E434" s="6" t="s">
        <v>24</v>
      </c>
      <c r="F434" s="8" t="s">
        <v>18</v>
      </c>
      <c r="G434" s="8" t="str">
        <f t="shared" si="2"/>
        <v>Marketing</v>
      </c>
      <c r="H434" s="8" t="s">
        <v>19</v>
      </c>
      <c r="I434" s="9">
        <v>8442</v>
      </c>
      <c r="J434" s="10">
        <v>0.3</v>
      </c>
      <c r="K434" s="11">
        <f t="shared" si="3"/>
        <v>2532.6</v>
      </c>
      <c r="L434" s="6" t="s">
        <v>20</v>
      </c>
      <c r="M434" s="6" t="s">
        <v>21</v>
      </c>
      <c r="N434" s="6" t="s">
        <v>34</v>
      </c>
      <c r="O434" s="3"/>
      <c r="P434" s="4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6.5" customHeight="1" x14ac:dyDescent="0.3">
      <c r="A435" s="5">
        <v>45587</v>
      </c>
      <c r="B435" s="6" t="s">
        <v>75</v>
      </c>
      <c r="C435" s="6" t="s">
        <v>78</v>
      </c>
      <c r="D435" s="7" t="s">
        <v>66</v>
      </c>
      <c r="E435" s="6" t="s">
        <v>24</v>
      </c>
      <c r="F435" s="8" t="s">
        <v>41</v>
      </c>
      <c r="G435" s="8" t="str">
        <f t="shared" si="2"/>
        <v>Copywriting</v>
      </c>
      <c r="H435" s="8" t="s">
        <v>42</v>
      </c>
      <c r="I435" s="9">
        <v>10526</v>
      </c>
      <c r="J435" s="10">
        <v>0.25</v>
      </c>
      <c r="K435" s="11">
        <f t="shared" si="3"/>
        <v>2631.5</v>
      </c>
      <c r="L435" s="6" t="s">
        <v>20</v>
      </c>
      <c r="M435" s="6" t="s">
        <v>21</v>
      </c>
      <c r="N435" s="6" t="s">
        <v>37</v>
      </c>
      <c r="O435" s="3"/>
      <c r="P435" s="4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6.5" customHeight="1" x14ac:dyDescent="0.3">
      <c r="A436" s="5">
        <v>45590</v>
      </c>
      <c r="B436" s="6" t="s">
        <v>75</v>
      </c>
      <c r="C436" s="6" t="s">
        <v>78</v>
      </c>
      <c r="D436" s="7" t="s">
        <v>28</v>
      </c>
      <c r="E436" s="6" t="s">
        <v>24</v>
      </c>
      <c r="F436" s="8" t="s">
        <v>32</v>
      </c>
      <c r="G436" s="8" t="str">
        <f t="shared" si="2"/>
        <v>Design</v>
      </c>
      <c r="H436" s="8" t="s">
        <v>29</v>
      </c>
      <c r="I436" s="9">
        <v>10041</v>
      </c>
      <c r="J436" s="10">
        <v>0.4</v>
      </c>
      <c r="K436" s="11">
        <f t="shared" si="3"/>
        <v>4016.4</v>
      </c>
      <c r="L436" s="6" t="s">
        <v>20</v>
      </c>
      <c r="M436" s="6" t="s">
        <v>21</v>
      </c>
      <c r="N436" s="6" t="s">
        <v>30</v>
      </c>
      <c r="O436" s="3"/>
      <c r="P436" s="4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6.5" customHeight="1" x14ac:dyDescent="0.3">
      <c r="A437" s="5">
        <v>45591</v>
      </c>
      <c r="B437" s="6" t="s">
        <v>75</v>
      </c>
      <c r="C437" s="6" t="s">
        <v>78</v>
      </c>
      <c r="D437" s="7" t="s">
        <v>60</v>
      </c>
      <c r="E437" s="6" t="s">
        <v>24</v>
      </c>
      <c r="F437" s="8" t="s">
        <v>41</v>
      </c>
      <c r="G437" s="8" t="str">
        <f t="shared" si="2"/>
        <v>Copywriting</v>
      </c>
      <c r="H437" s="8" t="s">
        <v>33</v>
      </c>
      <c r="I437" s="9">
        <v>10310</v>
      </c>
      <c r="J437" s="10">
        <v>0.25</v>
      </c>
      <c r="K437" s="11">
        <f t="shared" si="3"/>
        <v>2577.5</v>
      </c>
      <c r="L437" s="6" t="s">
        <v>20</v>
      </c>
      <c r="M437" s="6" t="s">
        <v>46</v>
      </c>
      <c r="N437" s="6" t="s">
        <v>37</v>
      </c>
      <c r="O437" s="3"/>
      <c r="P437" s="4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6.5" customHeight="1" x14ac:dyDescent="0.3">
      <c r="A438" s="5">
        <v>45593</v>
      </c>
      <c r="B438" s="6" t="s">
        <v>75</v>
      </c>
      <c r="C438" s="6" t="s">
        <v>78</v>
      </c>
      <c r="D438" s="7" t="s">
        <v>16</v>
      </c>
      <c r="E438" s="6" t="s">
        <v>17</v>
      </c>
      <c r="F438" s="8" t="s">
        <v>39</v>
      </c>
      <c r="G438" s="8" t="str">
        <f t="shared" si="2"/>
        <v>Design</v>
      </c>
      <c r="H438" s="8" t="s">
        <v>33</v>
      </c>
      <c r="I438" s="9">
        <v>11400</v>
      </c>
      <c r="J438" s="10">
        <v>0.35</v>
      </c>
      <c r="K438" s="11">
        <f t="shared" si="3"/>
        <v>3989.9999999999995</v>
      </c>
      <c r="L438" s="6" t="s">
        <v>27</v>
      </c>
      <c r="M438" s="6" t="s">
        <v>21</v>
      </c>
      <c r="N438" s="6" t="s">
        <v>22</v>
      </c>
      <c r="O438" s="3"/>
      <c r="P438" s="4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6.5" customHeight="1" x14ac:dyDescent="0.3">
      <c r="A439" s="5">
        <v>45593</v>
      </c>
      <c r="B439" s="6" t="s">
        <v>75</v>
      </c>
      <c r="C439" s="6" t="s">
        <v>78</v>
      </c>
      <c r="D439" s="7" t="s">
        <v>63</v>
      </c>
      <c r="E439" s="6" t="s">
        <v>17</v>
      </c>
      <c r="F439" s="8" t="s">
        <v>39</v>
      </c>
      <c r="G439" s="8" t="str">
        <f t="shared" si="2"/>
        <v>Design</v>
      </c>
      <c r="H439" s="8" t="s">
        <v>42</v>
      </c>
      <c r="I439" s="9">
        <v>9897</v>
      </c>
      <c r="J439" s="10">
        <v>0.35</v>
      </c>
      <c r="K439" s="11">
        <f t="shared" si="3"/>
        <v>3463.95</v>
      </c>
      <c r="L439" s="6" t="s">
        <v>27</v>
      </c>
      <c r="M439" s="6" t="s">
        <v>21</v>
      </c>
      <c r="N439" s="6" t="s">
        <v>34</v>
      </c>
      <c r="O439" s="3"/>
      <c r="P439" s="4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6.5" customHeight="1" x14ac:dyDescent="0.3">
      <c r="A440" s="5">
        <v>45593</v>
      </c>
      <c r="B440" s="6" t="s">
        <v>75</v>
      </c>
      <c r="C440" s="6" t="s">
        <v>78</v>
      </c>
      <c r="D440" s="7" t="s">
        <v>58</v>
      </c>
      <c r="E440" s="6" t="s">
        <v>24</v>
      </c>
      <c r="F440" s="8" t="s">
        <v>39</v>
      </c>
      <c r="G440" s="8" t="str">
        <f t="shared" si="2"/>
        <v>Design</v>
      </c>
      <c r="H440" s="8" t="s">
        <v>29</v>
      </c>
      <c r="I440" s="9">
        <v>7923</v>
      </c>
      <c r="J440" s="10">
        <v>0.35</v>
      </c>
      <c r="K440" s="11">
        <f t="shared" si="3"/>
        <v>2773.0499999999997</v>
      </c>
      <c r="L440" s="6" t="s">
        <v>27</v>
      </c>
      <c r="M440" s="6" t="s">
        <v>46</v>
      </c>
      <c r="N440" s="6" t="s">
        <v>30</v>
      </c>
      <c r="O440" s="3"/>
      <c r="P440" s="4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6.5" customHeight="1" x14ac:dyDescent="0.3">
      <c r="A441" s="5">
        <v>45594</v>
      </c>
      <c r="B441" s="6" t="s">
        <v>75</v>
      </c>
      <c r="C441" s="6" t="s">
        <v>78</v>
      </c>
      <c r="D441" s="7" t="s">
        <v>47</v>
      </c>
      <c r="E441" s="6" t="s">
        <v>24</v>
      </c>
      <c r="F441" s="8" t="s">
        <v>18</v>
      </c>
      <c r="G441" s="8" t="str">
        <f t="shared" si="2"/>
        <v>Marketing</v>
      </c>
      <c r="H441" s="8" t="s">
        <v>29</v>
      </c>
      <c r="I441" s="9">
        <v>11302</v>
      </c>
      <c r="J441" s="10">
        <v>0.3</v>
      </c>
      <c r="K441" s="11">
        <f t="shared" si="3"/>
        <v>3390.6</v>
      </c>
      <c r="L441" s="6" t="s">
        <v>27</v>
      </c>
      <c r="M441" s="6" t="s">
        <v>46</v>
      </c>
      <c r="N441" s="6" t="s">
        <v>37</v>
      </c>
      <c r="O441" s="3"/>
      <c r="P441" s="4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6.5" customHeight="1" x14ac:dyDescent="0.3">
      <c r="A442" s="5">
        <v>45600</v>
      </c>
      <c r="B442" s="6" t="s">
        <v>76</v>
      </c>
      <c r="C442" s="6" t="s">
        <v>78</v>
      </c>
      <c r="D442" s="7" t="s">
        <v>35</v>
      </c>
      <c r="E442" s="6" t="s">
        <v>24</v>
      </c>
      <c r="F442" s="8" t="s">
        <v>39</v>
      </c>
      <c r="G442" s="8" t="str">
        <f t="shared" si="2"/>
        <v>Design</v>
      </c>
      <c r="H442" s="8" t="s">
        <v>19</v>
      </c>
      <c r="I442" s="9">
        <v>9544</v>
      </c>
      <c r="J442" s="10">
        <v>0.35</v>
      </c>
      <c r="K442" s="11">
        <f t="shared" si="3"/>
        <v>3340.3999999999996</v>
      </c>
      <c r="L442" s="6" t="s">
        <v>27</v>
      </c>
      <c r="M442" s="6" t="s">
        <v>25</v>
      </c>
      <c r="N442" s="6" t="s">
        <v>37</v>
      </c>
      <c r="O442" s="3"/>
      <c r="P442" s="4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6.5" customHeight="1" x14ac:dyDescent="0.3">
      <c r="A443" s="5">
        <v>45602</v>
      </c>
      <c r="B443" s="6" t="s">
        <v>76</v>
      </c>
      <c r="C443" s="6" t="s">
        <v>78</v>
      </c>
      <c r="D443" s="7" t="s">
        <v>68</v>
      </c>
      <c r="E443" s="6" t="s">
        <v>24</v>
      </c>
      <c r="F443" s="8" t="s">
        <v>32</v>
      </c>
      <c r="G443" s="8" t="str">
        <f t="shared" si="2"/>
        <v>Design</v>
      </c>
      <c r="H443" s="8" t="s">
        <v>26</v>
      </c>
      <c r="I443" s="9">
        <v>8514</v>
      </c>
      <c r="J443" s="10">
        <v>0.4</v>
      </c>
      <c r="K443" s="11">
        <f t="shared" si="3"/>
        <v>3405.6000000000004</v>
      </c>
      <c r="L443" s="6" t="s">
        <v>27</v>
      </c>
      <c r="M443" s="6" t="s">
        <v>21</v>
      </c>
      <c r="N443" s="6" t="s">
        <v>34</v>
      </c>
      <c r="O443" s="3"/>
      <c r="P443" s="4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6.5" customHeight="1" x14ac:dyDescent="0.3">
      <c r="A444" s="5">
        <v>45603</v>
      </c>
      <c r="B444" s="6" t="s">
        <v>76</v>
      </c>
      <c r="C444" s="6" t="s">
        <v>78</v>
      </c>
      <c r="D444" s="7" t="s">
        <v>64</v>
      </c>
      <c r="E444" s="6" t="s">
        <v>17</v>
      </c>
      <c r="F444" s="8" t="s">
        <v>18</v>
      </c>
      <c r="G444" s="8" t="str">
        <f t="shared" si="2"/>
        <v>Marketing</v>
      </c>
      <c r="H444" s="8" t="s">
        <v>19</v>
      </c>
      <c r="I444" s="9">
        <v>10974</v>
      </c>
      <c r="J444" s="10">
        <v>0.3</v>
      </c>
      <c r="K444" s="11">
        <f t="shared" si="3"/>
        <v>3292.2</v>
      </c>
      <c r="L444" s="6" t="s">
        <v>20</v>
      </c>
      <c r="M444" s="6" t="s">
        <v>46</v>
      </c>
      <c r="N444" s="6" t="s">
        <v>37</v>
      </c>
      <c r="O444" s="3"/>
      <c r="P444" s="4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6.5" customHeight="1" x14ac:dyDescent="0.3">
      <c r="A445" s="5">
        <v>45603</v>
      </c>
      <c r="B445" s="6" t="s">
        <v>76</v>
      </c>
      <c r="C445" s="6" t="s">
        <v>78</v>
      </c>
      <c r="D445" s="7" t="s">
        <v>60</v>
      </c>
      <c r="E445" s="6" t="s">
        <v>24</v>
      </c>
      <c r="F445" s="8" t="s">
        <v>25</v>
      </c>
      <c r="G445" s="8" t="str">
        <f t="shared" si="2"/>
        <v>Marketing</v>
      </c>
      <c r="H445" s="8" t="s">
        <v>33</v>
      </c>
      <c r="I445" s="9">
        <v>8571</v>
      </c>
      <c r="J445" s="10">
        <v>0.25</v>
      </c>
      <c r="K445" s="11">
        <f t="shared" si="3"/>
        <v>2142.75</v>
      </c>
      <c r="L445" s="6" t="s">
        <v>27</v>
      </c>
      <c r="M445" s="6" t="s">
        <v>46</v>
      </c>
      <c r="N445" s="6" t="s">
        <v>37</v>
      </c>
      <c r="O445" s="3"/>
      <c r="P445" s="4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6.5" customHeight="1" x14ac:dyDescent="0.3">
      <c r="A446" s="5">
        <v>45606</v>
      </c>
      <c r="B446" s="6" t="s">
        <v>76</v>
      </c>
      <c r="C446" s="6" t="s">
        <v>78</v>
      </c>
      <c r="D446" s="7" t="s">
        <v>56</v>
      </c>
      <c r="E446" s="6" t="s">
        <v>17</v>
      </c>
      <c r="F446" s="8" t="s">
        <v>32</v>
      </c>
      <c r="G446" s="8" t="str">
        <f t="shared" si="2"/>
        <v>Design</v>
      </c>
      <c r="H446" s="8" t="s">
        <v>33</v>
      </c>
      <c r="I446" s="9">
        <v>8396</v>
      </c>
      <c r="J446" s="10">
        <v>0.4</v>
      </c>
      <c r="K446" s="11">
        <f t="shared" si="3"/>
        <v>3358.4</v>
      </c>
      <c r="L446" s="6" t="s">
        <v>20</v>
      </c>
      <c r="M446" s="6" t="s">
        <v>25</v>
      </c>
      <c r="N446" s="6" t="s">
        <v>37</v>
      </c>
      <c r="O446" s="3"/>
      <c r="P446" s="4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6.5" customHeight="1" x14ac:dyDescent="0.3">
      <c r="A447" s="5">
        <v>45606</v>
      </c>
      <c r="B447" s="6" t="s">
        <v>76</v>
      </c>
      <c r="C447" s="6" t="s">
        <v>78</v>
      </c>
      <c r="D447" s="7" t="s">
        <v>50</v>
      </c>
      <c r="E447" s="6" t="s">
        <v>17</v>
      </c>
      <c r="F447" s="8" t="s">
        <v>25</v>
      </c>
      <c r="G447" s="8" t="str">
        <f t="shared" si="2"/>
        <v>Marketing</v>
      </c>
      <c r="H447" s="8" t="s">
        <v>19</v>
      </c>
      <c r="I447" s="9">
        <v>7837</v>
      </c>
      <c r="J447" s="10">
        <v>0.25</v>
      </c>
      <c r="K447" s="11">
        <f t="shared" si="3"/>
        <v>1959.25</v>
      </c>
      <c r="L447" s="6" t="s">
        <v>20</v>
      </c>
      <c r="M447" s="6" t="s">
        <v>21</v>
      </c>
      <c r="N447" s="6" t="s">
        <v>37</v>
      </c>
      <c r="O447" s="3"/>
      <c r="P447" s="4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6.5" customHeight="1" x14ac:dyDescent="0.3">
      <c r="A448" s="5">
        <v>45608</v>
      </c>
      <c r="B448" s="6" t="s">
        <v>76</v>
      </c>
      <c r="C448" s="6" t="s">
        <v>78</v>
      </c>
      <c r="D448" s="7" t="s">
        <v>45</v>
      </c>
      <c r="E448" s="6" t="s">
        <v>17</v>
      </c>
      <c r="F448" s="8" t="s">
        <v>39</v>
      </c>
      <c r="G448" s="8" t="str">
        <f t="shared" si="2"/>
        <v>Design</v>
      </c>
      <c r="H448" s="8" t="s">
        <v>29</v>
      </c>
      <c r="I448" s="9">
        <v>10358</v>
      </c>
      <c r="J448" s="10">
        <v>0.35</v>
      </c>
      <c r="K448" s="11">
        <f t="shared" si="3"/>
        <v>3625.2999999999997</v>
      </c>
      <c r="L448" s="6" t="s">
        <v>20</v>
      </c>
      <c r="M448" s="6" t="s">
        <v>46</v>
      </c>
      <c r="N448" s="6" t="s">
        <v>30</v>
      </c>
      <c r="O448" s="3"/>
      <c r="P448" s="4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6.5" customHeight="1" x14ac:dyDescent="0.3">
      <c r="A449" s="5">
        <v>45609</v>
      </c>
      <c r="B449" s="6" t="s">
        <v>76</v>
      </c>
      <c r="C449" s="6" t="s">
        <v>78</v>
      </c>
      <c r="D449" s="7" t="s">
        <v>51</v>
      </c>
      <c r="E449" s="6" t="s">
        <v>24</v>
      </c>
      <c r="F449" s="8" t="s">
        <v>39</v>
      </c>
      <c r="G449" s="8" t="str">
        <f t="shared" si="2"/>
        <v>Design</v>
      </c>
      <c r="H449" s="8" t="s">
        <v>42</v>
      </c>
      <c r="I449" s="9">
        <v>8002</v>
      </c>
      <c r="J449" s="10">
        <v>0.35</v>
      </c>
      <c r="K449" s="11">
        <f t="shared" si="3"/>
        <v>2800.7</v>
      </c>
      <c r="L449" s="6" t="s">
        <v>27</v>
      </c>
      <c r="M449" s="6" t="s">
        <v>46</v>
      </c>
      <c r="N449" s="6" t="s">
        <v>30</v>
      </c>
      <c r="O449" s="3"/>
      <c r="P449" s="4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6.5" customHeight="1" x14ac:dyDescent="0.3">
      <c r="A450" s="5">
        <v>45612</v>
      </c>
      <c r="B450" s="6" t="s">
        <v>76</v>
      </c>
      <c r="C450" s="6" t="s">
        <v>78</v>
      </c>
      <c r="D450" s="7" t="s">
        <v>54</v>
      </c>
      <c r="E450" s="6" t="s">
        <v>17</v>
      </c>
      <c r="F450" s="8" t="s">
        <v>41</v>
      </c>
      <c r="G450" s="8" t="str">
        <f t="shared" si="2"/>
        <v>Copywriting</v>
      </c>
      <c r="H450" s="8" t="s">
        <v>29</v>
      </c>
      <c r="I450" s="9">
        <v>7833</v>
      </c>
      <c r="J450" s="10">
        <v>0.25</v>
      </c>
      <c r="K450" s="11">
        <f t="shared" si="3"/>
        <v>1958.25</v>
      </c>
      <c r="L450" s="6" t="s">
        <v>27</v>
      </c>
      <c r="M450" s="6" t="s">
        <v>21</v>
      </c>
      <c r="N450" s="6" t="s">
        <v>30</v>
      </c>
      <c r="O450" s="3"/>
      <c r="P450" s="4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6.5" customHeight="1" x14ac:dyDescent="0.3">
      <c r="A451" s="5">
        <v>45612</v>
      </c>
      <c r="B451" s="6" t="s">
        <v>76</v>
      </c>
      <c r="C451" s="6" t="s">
        <v>78</v>
      </c>
      <c r="D451" s="7" t="s">
        <v>56</v>
      </c>
      <c r="E451" s="6" t="s">
        <v>17</v>
      </c>
      <c r="F451" s="8" t="s">
        <v>18</v>
      </c>
      <c r="G451" s="8" t="str">
        <f t="shared" si="2"/>
        <v>Marketing</v>
      </c>
      <c r="H451" s="8" t="s">
        <v>42</v>
      </c>
      <c r="I451" s="9">
        <v>8395</v>
      </c>
      <c r="J451" s="10">
        <v>0.3</v>
      </c>
      <c r="K451" s="11">
        <f t="shared" si="3"/>
        <v>2518.5</v>
      </c>
      <c r="L451" s="6" t="s">
        <v>27</v>
      </c>
      <c r="M451" s="6" t="s">
        <v>46</v>
      </c>
      <c r="N451" s="6" t="s">
        <v>37</v>
      </c>
      <c r="O451" s="3"/>
      <c r="P451" s="4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6.5" customHeight="1" x14ac:dyDescent="0.3">
      <c r="A452" s="5">
        <v>45615</v>
      </c>
      <c r="B452" s="6" t="s">
        <v>76</v>
      </c>
      <c r="C452" s="6" t="s">
        <v>78</v>
      </c>
      <c r="D452" s="7" t="s">
        <v>55</v>
      </c>
      <c r="E452" s="6" t="s">
        <v>24</v>
      </c>
      <c r="F452" s="8" t="s">
        <v>41</v>
      </c>
      <c r="G452" s="8" t="str">
        <f t="shared" si="2"/>
        <v>Copywriting</v>
      </c>
      <c r="H452" s="8" t="s">
        <v>33</v>
      </c>
      <c r="I452" s="9">
        <v>8763</v>
      </c>
      <c r="J452" s="10">
        <v>0.25</v>
      </c>
      <c r="K452" s="11">
        <f t="shared" si="3"/>
        <v>2190.75</v>
      </c>
      <c r="L452" s="6" t="s">
        <v>20</v>
      </c>
      <c r="M452" s="6" t="s">
        <v>25</v>
      </c>
      <c r="N452" s="6" t="s">
        <v>22</v>
      </c>
      <c r="O452" s="3"/>
      <c r="P452" s="4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6.5" customHeight="1" x14ac:dyDescent="0.3">
      <c r="A453" s="5">
        <v>45616</v>
      </c>
      <c r="B453" s="6" t="s">
        <v>76</v>
      </c>
      <c r="C453" s="6" t="s">
        <v>78</v>
      </c>
      <c r="D453" s="7" t="s">
        <v>47</v>
      </c>
      <c r="E453" s="6" t="s">
        <v>24</v>
      </c>
      <c r="F453" s="8" t="s">
        <v>41</v>
      </c>
      <c r="G453" s="8" t="str">
        <f t="shared" si="2"/>
        <v>Copywriting</v>
      </c>
      <c r="H453" s="8" t="s">
        <v>29</v>
      </c>
      <c r="I453" s="9">
        <v>8611</v>
      </c>
      <c r="J453" s="10">
        <v>0.25</v>
      </c>
      <c r="K453" s="11">
        <f t="shared" si="3"/>
        <v>2152.75</v>
      </c>
      <c r="L453" s="6" t="s">
        <v>20</v>
      </c>
      <c r="M453" s="6" t="s">
        <v>46</v>
      </c>
      <c r="N453" s="6" t="s">
        <v>30</v>
      </c>
      <c r="O453" s="3"/>
      <c r="P453" s="4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6.5" customHeight="1" x14ac:dyDescent="0.3">
      <c r="A454" s="5">
        <v>45617</v>
      </c>
      <c r="B454" s="6" t="s">
        <v>76</v>
      </c>
      <c r="C454" s="6" t="s">
        <v>78</v>
      </c>
      <c r="D454" s="7" t="s">
        <v>52</v>
      </c>
      <c r="E454" s="6" t="s">
        <v>17</v>
      </c>
      <c r="F454" s="8" t="s">
        <v>41</v>
      </c>
      <c r="G454" s="8" t="str">
        <f t="shared" si="2"/>
        <v>Copywriting</v>
      </c>
      <c r="H454" s="8" t="s">
        <v>19</v>
      </c>
      <c r="I454" s="9">
        <v>9027</v>
      </c>
      <c r="J454" s="10">
        <v>0.25</v>
      </c>
      <c r="K454" s="11">
        <f t="shared" si="3"/>
        <v>2256.75</v>
      </c>
      <c r="L454" s="6" t="s">
        <v>27</v>
      </c>
      <c r="M454" s="6" t="s">
        <v>21</v>
      </c>
      <c r="N454" s="6" t="s">
        <v>34</v>
      </c>
      <c r="O454" s="3"/>
      <c r="P454" s="4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6.5" customHeight="1" x14ac:dyDescent="0.3">
      <c r="A455" s="5">
        <v>45617</v>
      </c>
      <c r="B455" s="6" t="s">
        <v>76</v>
      </c>
      <c r="C455" s="6" t="s">
        <v>78</v>
      </c>
      <c r="D455" s="7" t="s">
        <v>59</v>
      </c>
      <c r="E455" s="6" t="s">
        <v>24</v>
      </c>
      <c r="F455" s="8" t="s">
        <v>41</v>
      </c>
      <c r="G455" s="8" t="str">
        <f t="shared" si="2"/>
        <v>Copywriting</v>
      </c>
      <c r="H455" s="8" t="s">
        <v>29</v>
      </c>
      <c r="I455" s="9">
        <v>9355</v>
      </c>
      <c r="J455" s="10">
        <v>0.25</v>
      </c>
      <c r="K455" s="11">
        <f t="shared" si="3"/>
        <v>2338.75</v>
      </c>
      <c r="L455" s="6" t="s">
        <v>27</v>
      </c>
      <c r="M455" s="6" t="s">
        <v>21</v>
      </c>
      <c r="N455" s="6" t="s">
        <v>22</v>
      </c>
      <c r="O455" s="3"/>
      <c r="P455" s="4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6.5" customHeight="1" x14ac:dyDescent="0.3">
      <c r="A456" s="5">
        <v>45619</v>
      </c>
      <c r="B456" s="6" t="s">
        <v>76</v>
      </c>
      <c r="C456" s="6" t="s">
        <v>78</v>
      </c>
      <c r="D456" s="7" t="s">
        <v>49</v>
      </c>
      <c r="E456" s="6" t="s">
        <v>17</v>
      </c>
      <c r="F456" s="8" t="s">
        <v>25</v>
      </c>
      <c r="G456" s="8" t="str">
        <f t="shared" si="2"/>
        <v>Marketing</v>
      </c>
      <c r="H456" s="8" t="s">
        <v>26</v>
      </c>
      <c r="I456" s="9">
        <v>10086</v>
      </c>
      <c r="J456" s="10">
        <v>0.25</v>
      </c>
      <c r="K456" s="11">
        <f t="shared" si="3"/>
        <v>2521.5</v>
      </c>
      <c r="L456" s="6" t="s">
        <v>20</v>
      </c>
      <c r="M456" s="6" t="s">
        <v>46</v>
      </c>
      <c r="N456" s="6" t="s">
        <v>34</v>
      </c>
      <c r="O456" s="3"/>
      <c r="P456" s="4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6.5" customHeight="1" x14ac:dyDescent="0.3">
      <c r="A457" s="5">
        <v>45619</v>
      </c>
      <c r="B457" s="6" t="s">
        <v>76</v>
      </c>
      <c r="C457" s="6" t="s">
        <v>78</v>
      </c>
      <c r="D457" s="7" t="s">
        <v>56</v>
      </c>
      <c r="E457" s="6" t="s">
        <v>17</v>
      </c>
      <c r="F457" s="8" t="s">
        <v>25</v>
      </c>
      <c r="G457" s="8" t="str">
        <f t="shared" si="2"/>
        <v>Marketing</v>
      </c>
      <c r="H457" s="8" t="s">
        <v>33</v>
      </c>
      <c r="I457" s="9">
        <v>11777</v>
      </c>
      <c r="J457" s="10">
        <v>0.25</v>
      </c>
      <c r="K457" s="11">
        <f t="shared" si="3"/>
        <v>2944.25</v>
      </c>
      <c r="L457" s="6" t="s">
        <v>20</v>
      </c>
      <c r="M457" s="6" t="s">
        <v>21</v>
      </c>
      <c r="N457" s="6" t="s">
        <v>34</v>
      </c>
      <c r="O457" s="3"/>
      <c r="P457" s="4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6.5" customHeight="1" x14ac:dyDescent="0.3">
      <c r="A458" s="5">
        <v>45619</v>
      </c>
      <c r="B458" s="6" t="s">
        <v>76</v>
      </c>
      <c r="C458" s="6" t="s">
        <v>78</v>
      </c>
      <c r="D458" s="7" t="s">
        <v>51</v>
      </c>
      <c r="E458" s="6" t="s">
        <v>24</v>
      </c>
      <c r="F458" s="8" t="s">
        <v>18</v>
      </c>
      <c r="G458" s="8" t="str">
        <f t="shared" si="2"/>
        <v>Marketing</v>
      </c>
      <c r="H458" s="8" t="s">
        <v>33</v>
      </c>
      <c r="I458" s="9">
        <v>10987</v>
      </c>
      <c r="J458" s="10">
        <v>0.3</v>
      </c>
      <c r="K458" s="11">
        <f t="shared" si="3"/>
        <v>3296.1</v>
      </c>
      <c r="L458" s="6" t="s">
        <v>20</v>
      </c>
      <c r="M458" s="6" t="s">
        <v>46</v>
      </c>
      <c r="N458" s="6" t="s">
        <v>37</v>
      </c>
      <c r="O458" s="3"/>
      <c r="P458" s="4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6.5" customHeight="1" x14ac:dyDescent="0.3">
      <c r="A459" s="5">
        <v>45620</v>
      </c>
      <c r="B459" s="6" t="s">
        <v>76</v>
      </c>
      <c r="C459" s="6" t="s">
        <v>78</v>
      </c>
      <c r="D459" s="7" t="s">
        <v>49</v>
      </c>
      <c r="E459" s="6" t="s">
        <v>17</v>
      </c>
      <c r="F459" s="8" t="s">
        <v>41</v>
      </c>
      <c r="G459" s="8" t="str">
        <f t="shared" si="2"/>
        <v>Copywriting</v>
      </c>
      <c r="H459" s="8" t="s">
        <v>42</v>
      </c>
      <c r="I459" s="9">
        <v>10033</v>
      </c>
      <c r="J459" s="10">
        <v>0.25</v>
      </c>
      <c r="K459" s="11">
        <f t="shared" si="3"/>
        <v>2508.25</v>
      </c>
      <c r="L459" s="6" t="s">
        <v>20</v>
      </c>
      <c r="M459" s="6" t="s">
        <v>21</v>
      </c>
      <c r="N459" s="6" t="s">
        <v>22</v>
      </c>
      <c r="O459" s="3"/>
      <c r="P459" s="4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6.5" customHeight="1" x14ac:dyDescent="0.3">
      <c r="A460" s="5">
        <v>45623</v>
      </c>
      <c r="B460" s="6" t="s">
        <v>76</v>
      </c>
      <c r="C460" s="6" t="s">
        <v>78</v>
      </c>
      <c r="D460" s="7" t="s">
        <v>55</v>
      </c>
      <c r="E460" s="6" t="s">
        <v>24</v>
      </c>
      <c r="F460" s="8" t="s">
        <v>41</v>
      </c>
      <c r="G460" s="8" t="str">
        <f t="shared" si="2"/>
        <v>Copywriting</v>
      </c>
      <c r="H460" s="8" t="s">
        <v>26</v>
      </c>
      <c r="I460" s="9">
        <v>9393</v>
      </c>
      <c r="J460" s="10">
        <v>0.25</v>
      </c>
      <c r="K460" s="11">
        <f t="shared" si="3"/>
        <v>2348.25</v>
      </c>
      <c r="L460" s="6" t="s">
        <v>27</v>
      </c>
      <c r="M460" s="6" t="s">
        <v>46</v>
      </c>
      <c r="N460" s="6" t="s">
        <v>34</v>
      </c>
      <c r="O460" s="3"/>
      <c r="P460" s="4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6.5" customHeight="1" x14ac:dyDescent="0.3">
      <c r="A461" s="5">
        <v>45626</v>
      </c>
      <c r="B461" s="6" t="s">
        <v>76</v>
      </c>
      <c r="C461" s="6" t="s">
        <v>78</v>
      </c>
      <c r="D461" s="7" t="s">
        <v>44</v>
      </c>
      <c r="E461" s="6" t="s">
        <v>24</v>
      </c>
      <c r="F461" s="8" t="s">
        <v>32</v>
      </c>
      <c r="G461" s="8" t="str">
        <f t="shared" si="2"/>
        <v>Design</v>
      </c>
      <c r="H461" s="8" t="s">
        <v>29</v>
      </c>
      <c r="I461" s="9">
        <v>8047</v>
      </c>
      <c r="J461" s="10">
        <v>0.4</v>
      </c>
      <c r="K461" s="11">
        <f t="shared" si="3"/>
        <v>3218.8</v>
      </c>
      <c r="L461" s="6" t="s">
        <v>27</v>
      </c>
      <c r="M461" s="6" t="s">
        <v>46</v>
      </c>
      <c r="N461" s="6" t="s">
        <v>22</v>
      </c>
      <c r="O461" s="3"/>
      <c r="P461" s="4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6.5" customHeight="1" x14ac:dyDescent="0.3">
      <c r="A462" s="5">
        <v>45629</v>
      </c>
      <c r="B462" s="6" t="s">
        <v>77</v>
      </c>
      <c r="C462" s="6" t="s">
        <v>78</v>
      </c>
      <c r="D462" s="7" t="s">
        <v>68</v>
      </c>
      <c r="E462" s="6" t="s">
        <v>24</v>
      </c>
      <c r="F462" s="8" t="s">
        <v>39</v>
      </c>
      <c r="G462" s="8" t="str">
        <f t="shared" si="2"/>
        <v>Design</v>
      </c>
      <c r="H462" s="8" t="s">
        <v>26</v>
      </c>
      <c r="I462" s="9">
        <v>9659</v>
      </c>
      <c r="J462" s="10">
        <v>0.35</v>
      </c>
      <c r="K462" s="11">
        <f t="shared" si="3"/>
        <v>3380.6499999999996</v>
      </c>
      <c r="L462" s="6" t="s">
        <v>20</v>
      </c>
      <c r="M462" s="6" t="s">
        <v>21</v>
      </c>
      <c r="N462" s="6" t="s">
        <v>22</v>
      </c>
      <c r="O462" s="3"/>
      <c r="P462" s="4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6.5" customHeight="1" x14ac:dyDescent="0.3">
      <c r="A463" s="5">
        <v>45636</v>
      </c>
      <c r="B463" s="6" t="s">
        <v>77</v>
      </c>
      <c r="C463" s="6" t="s">
        <v>78</v>
      </c>
      <c r="D463" s="7" t="s">
        <v>64</v>
      </c>
      <c r="E463" s="6" t="s">
        <v>17</v>
      </c>
      <c r="F463" s="8" t="s">
        <v>18</v>
      </c>
      <c r="G463" s="8" t="str">
        <f t="shared" si="2"/>
        <v>Marketing</v>
      </c>
      <c r="H463" s="8" t="s">
        <v>26</v>
      </c>
      <c r="I463" s="9">
        <v>10862</v>
      </c>
      <c r="J463" s="10">
        <v>0.3</v>
      </c>
      <c r="K463" s="11">
        <f t="shared" si="3"/>
        <v>3258.6</v>
      </c>
      <c r="L463" s="6" t="s">
        <v>20</v>
      </c>
      <c r="M463" s="6" t="s">
        <v>21</v>
      </c>
      <c r="N463" s="6" t="s">
        <v>30</v>
      </c>
      <c r="O463" s="3"/>
      <c r="P463" s="4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6.5" customHeight="1" x14ac:dyDescent="0.3">
      <c r="A464" s="5">
        <v>45637</v>
      </c>
      <c r="B464" s="6" t="s">
        <v>77</v>
      </c>
      <c r="C464" s="6" t="s">
        <v>78</v>
      </c>
      <c r="D464" s="7" t="s">
        <v>51</v>
      </c>
      <c r="E464" s="6" t="s">
        <v>24</v>
      </c>
      <c r="F464" s="8" t="s">
        <v>18</v>
      </c>
      <c r="G464" s="8" t="str">
        <f t="shared" si="2"/>
        <v>Marketing</v>
      </c>
      <c r="H464" s="8" t="s">
        <v>29</v>
      </c>
      <c r="I464" s="9">
        <v>10307</v>
      </c>
      <c r="J464" s="10">
        <v>0.3</v>
      </c>
      <c r="K464" s="11">
        <f t="shared" si="3"/>
        <v>3092.1</v>
      </c>
      <c r="L464" s="6" t="s">
        <v>20</v>
      </c>
      <c r="M464" s="6" t="s">
        <v>25</v>
      </c>
      <c r="N464" s="6" t="s">
        <v>37</v>
      </c>
      <c r="O464" s="3"/>
      <c r="P464" s="4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6.5" customHeight="1" x14ac:dyDescent="0.3">
      <c r="A465" s="5">
        <v>45637</v>
      </c>
      <c r="B465" s="6" t="s">
        <v>77</v>
      </c>
      <c r="C465" s="6" t="s">
        <v>78</v>
      </c>
      <c r="D465" s="7" t="s">
        <v>47</v>
      </c>
      <c r="E465" s="6" t="s">
        <v>24</v>
      </c>
      <c r="F465" s="8" t="s">
        <v>39</v>
      </c>
      <c r="G465" s="8" t="str">
        <f t="shared" si="2"/>
        <v>Design</v>
      </c>
      <c r="H465" s="8" t="s">
        <v>33</v>
      </c>
      <c r="I465" s="9">
        <v>8071</v>
      </c>
      <c r="J465" s="10">
        <v>0.35</v>
      </c>
      <c r="K465" s="11">
        <f t="shared" si="3"/>
        <v>2824.85</v>
      </c>
      <c r="L465" s="6" t="s">
        <v>27</v>
      </c>
      <c r="M465" s="6" t="s">
        <v>21</v>
      </c>
      <c r="N465" s="6" t="s">
        <v>37</v>
      </c>
      <c r="O465" s="3"/>
      <c r="P465" s="4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6.5" customHeight="1" x14ac:dyDescent="0.3">
      <c r="A466" s="5">
        <v>45640</v>
      </c>
      <c r="B466" s="6" t="s">
        <v>77</v>
      </c>
      <c r="C466" s="6" t="s">
        <v>78</v>
      </c>
      <c r="D466" s="7" t="s">
        <v>43</v>
      </c>
      <c r="E466" s="6" t="s">
        <v>24</v>
      </c>
      <c r="F466" s="8" t="s">
        <v>41</v>
      </c>
      <c r="G466" s="8" t="str">
        <f t="shared" si="2"/>
        <v>Copywriting</v>
      </c>
      <c r="H466" s="8" t="s">
        <v>33</v>
      </c>
      <c r="I466" s="9">
        <v>11504</v>
      </c>
      <c r="J466" s="10">
        <v>0.25</v>
      </c>
      <c r="K466" s="11">
        <f t="shared" si="3"/>
        <v>2876</v>
      </c>
      <c r="L466" s="6" t="s">
        <v>27</v>
      </c>
      <c r="M466" s="6" t="s">
        <v>46</v>
      </c>
      <c r="N466" s="6" t="s">
        <v>37</v>
      </c>
      <c r="O466" s="3"/>
      <c r="P466" s="4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6.5" customHeight="1" x14ac:dyDescent="0.3">
      <c r="A467" s="5">
        <v>45643</v>
      </c>
      <c r="B467" s="6" t="s">
        <v>77</v>
      </c>
      <c r="C467" s="6" t="s">
        <v>78</v>
      </c>
      <c r="D467" s="7" t="s">
        <v>48</v>
      </c>
      <c r="E467" s="6" t="s">
        <v>17</v>
      </c>
      <c r="F467" s="8" t="s">
        <v>32</v>
      </c>
      <c r="G467" s="8" t="str">
        <f t="shared" si="2"/>
        <v>Design</v>
      </c>
      <c r="H467" s="8" t="s">
        <v>29</v>
      </c>
      <c r="I467" s="9">
        <v>8983</v>
      </c>
      <c r="J467" s="10">
        <v>0.4</v>
      </c>
      <c r="K467" s="11">
        <f t="shared" si="3"/>
        <v>3593.2000000000003</v>
      </c>
      <c r="L467" s="6" t="s">
        <v>20</v>
      </c>
      <c r="M467" s="6" t="s">
        <v>21</v>
      </c>
      <c r="N467" s="6" t="s">
        <v>30</v>
      </c>
      <c r="O467" s="3"/>
      <c r="P467" s="4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6.5" customHeight="1" x14ac:dyDescent="0.3">
      <c r="A468" s="5">
        <v>45643</v>
      </c>
      <c r="B468" s="6" t="s">
        <v>77</v>
      </c>
      <c r="C468" s="6" t="s">
        <v>78</v>
      </c>
      <c r="D468" s="7" t="s">
        <v>49</v>
      </c>
      <c r="E468" s="6" t="s">
        <v>17</v>
      </c>
      <c r="F468" s="8" t="s">
        <v>41</v>
      </c>
      <c r="G468" s="8" t="str">
        <f t="shared" si="2"/>
        <v>Copywriting</v>
      </c>
      <c r="H468" s="8" t="s">
        <v>33</v>
      </c>
      <c r="I468" s="9">
        <v>11329</v>
      </c>
      <c r="J468" s="10">
        <v>0.25</v>
      </c>
      <c r="K468" s="11">
        <f t="shared" si="3"/>
        <v>2832.25</v>
      </c>
      <c r="L468" s="6" t="s">
        <v>20</v>
      </c>
      <c r="M468" s="6" t="s">
        <v>21</v>
      </c>
      <c r="N468" s="6" t="s">
        <v>22</v>
      </c>
      <c r="O468" s="3"/>
      <c r="P468" s="4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6.5" customHeight="1" x14ac:dyDescent="0.3">
      <c r="A469" s="5">
        <v>45644</v>
      </c>
      <c r="B469" s="6" t="s">
        <v>77</v>
      </c>
      <c r="C469" s="6" t="s">
        <v>78</v>
      </c>
      <c r="D469" s="7" t="s">
        <v>48</v>
      </c>
      <c r="E469" s="6" t="s">
        <v>17</v>
      </c>
      <c r="F469" s="8" t="s">
        <v>25</v>
      </c>
      <c r="G469" s="8" t="str">
        <f t="shared" si="2"/>
        <v>Marketing</v>
      </c>
      <c r="H469" s="8" t="s">
        <v>29</v>
      </c>
      <c r="I469" s="9">
        <v>10036</v>
      </c>
      <c r="J469" s="10">
        <v>0.25</v>
      </c>
      <c r="K469" s="11">
        <f t="shared" si="3"/>
        <v>2509</v>
      </c>
      <c r="L469" s="6" t="s">
        <v>20</v>
      </c>
      <c r="M469" s="6" t="s">
        <v>25</v>
      </c>
      <c r="N469" s="6" t="s">
        <v>37</v>
      </c>
      <c r="O469" s="3"/>
      <c r="P469" s="4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6.5" customHeight="1" x14ac:dyDescent="0.3">
      <c r="A470" s="5">
        <v>45644</v>
      </c>
      <c r="B470" s="6" t="s">
        <v>77</v>
      </c>
      <c r="C470" s="6" t="s">
        <v>78</v>
      </c>
      <c r="D470" s="7" t="s">
        <v>44</v>
      </c>
      <c r="E470" s="6" t="s">
        <v>24</v>
      </c>
      <c r="F470" s="8" t="s">
        <v>18</v>
      </c>
      <c r="G470" s="8" t="str">
        <f t="shared" si="2"/>
        <v>Marketing</v>
      </c>
      <c r="H470" s="8" t="s">
        <v>19</v>
      </c>
      <c r="I470" s="9">
        <v>7860</v>
      </c>
      <c r="J470" s="10">
        <v>0.3</v>
      </c>
      <c r="K470" s="11">
        <f t="shared" si="3"/>
        <v>2358</v>
      </c>
      <c r="L470" s="6" t="s">
        <v>20</v>
      </c>
      <c r="M470" s="6" t="s">
        <v>21</v>
      </c>
      <c r="N470" s="6" t="s">
        <v>34</v>
      </c>
      <c r="O470" s="3"/>
      <c r="P470" s="4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6.5" customHeight="1" x14ac:dyDescent="0.3">
      <c r="A471" s="5">
        <v>45644</v>
      </c>
      <c r="B471" s="6" t="s">
        <v>77</v>
      </c>
      <c r="C471" s="6" t="s">
        <v>78</v>
      </c>
      <c r="D471" s="7" t="s">
        <v>58</v>
      </c>
      <c r="E471" s="6" t="s">
        <v>24</v>
      </c>
      <c r="F471" s="8" t="s">
        <v>41</v>
      </c>
      <c r="G471" s="8" t="str">
        <f t="shared" si="2"/>
        <v>Copywriting</v>
      </c>
      <c r="H471" s="8" t="s">
        <v>19</v>
      </c>
      <c r="I471" s="9">
        <v>10855</v>
      </c>
      <c r="J471" s="10">
        <v>0.25</v>
      </c>
      <c r="K471" s="11">
        <f t="shared" si="3"/>
        <v>2713.75</v>
      </c>
      <c r="L471" s="6" t="s">
        <v>20</v>
      </c>
      <c r="M471" s="6" t="s">
        <v>25</v>
      </c>
      <c r="N471" s="6" t="s">
        <v>22</v>
      </c>
      <c r="O471" s="3"/>
      <c r="P471" s="4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6.5" customHeight="1" x14ac:dyDescent="0.3">
      <c r="A472" s="5">
        <v>45645</v>
      </c>
      <c r="B472" s="6" t="s">
        <v>77</v>
      </c>
      <c r="C472" s="6" t="s">
        <v>78</v>
      </c>
      <c r="D472" s="7" t="s">
        <v>40</v>
      </c>
      <c r="E472" s="6" t="s">
        <v>17</v>
      </c>
      <c r="F472" s="8" t="s">
        <v>18</v>
      </c>
      <c r="G472" s="8" t="str">
        <f t="shared" si="2"/>
        <v>Marketing</v>
      </c>
      <c r="H472" s="8" t="s">
        <v>29</v>
      </c>
      <c r="I472" s="9">
        <v>10077</v>
      </c>
      <c r="J472" s="10">
        <v>0.3</v>
      </c>
      <c r="K472" s="11">
        <f t="shared" si="3"/>
        <v>3023.1</v>
      </c>
      <c r="L472" s="6" t="s">
        <v>20</v>
      </c>
      <c r="M472" s="6" t="s">
        <v>46</v>
      </c>
      <c r="N472" s="6" t="s">
        <v>22</v>
      </c>
      <c r="O472" s="3"/>
      <c r="P472" s="4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6.5" customHeight="1" x14ac:dyDescent="0.3">
      <c r="A473" s="5">
        <v>45650</v>
      </c>
      <c r="B473" s="6" t="s">
        <v>77</v>
      </c>
      <c r="C473" s="6" t="s">
        <v>78</v>
      </c>
      <c r="D473" s="7" t="s">
        <v>52</v>
      </c>
      <c r="E473" s="6" t="s">
        <v>17</v>
      </c>
      <c r="F473" s="8" t="s">
        <v>32</v>
      </c>
      <c r="G473" s="8" t="str">
        <f t="shared" si="2"/>
        <v>Design</v>
      </c>
      <c r="H473" s="8" t="s">
        <v>33</v>
      </c>
      <c r="I473" s="9">
        <v>11309</v>
      </c>
      <c r="J473" s="10">
        <v>0.4</v>
      </c>
      <c r="K473" s="11">
        <f t="shared" si="3"/>
        <v>4523.6000000000004</v>
      </c>
      <c r="L473" s="6" t="s">
        <v>20</v>
      </c>
      <c r="M473" s="6" t="s">
        <v>21</v>
      </c>
      <c r="N473" s="6" t="s">
        <v>34</v>
      </c>
      <c r="O473" s="3"/>
      <c r="P473" s="4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6.5" customHeight="1" x14ac:dyDescent="0.3">
      <c r="A474" s="5">
        <v>45650</v>
      </c>
      <c r="B474" s="6" t="s">
        <v>77</v>
      </c>
      <c r="C474" s="6" t="s">
        <v>78</v>
      </c>
      <c r="D474" s="7" t="s">
        <v>16</v>
      </c>
      <c r="E474" s="6" t="s">
        <v>17</v>
      </c>
      <c r="F474" s="8" t="s">
        <v>18</v>
      </c>
      <c r="G474" s="8" t="str">
        <f t="shared" si="2"/>
        <v>Marketing</v>
      </c>
      <c r="H474" s="8" t="s">
        <v>29</v>
      </c>
      <c r="I474" s="9">
        <v>9219</v>
      </c>
      <c r="J474" s="10">
        <v>0.3</v>
      </c>
      <c r="K474" s="11">
        <f t="shared" si="3"/>
        <v>2765.7</v>
      </c>
      <c r="L474" s="6" t="s">
        <v>20</v>
      </c>
      <c r="M474" s="6" t="s">
        <v>46</v>
      </c>
      <c r="N474" s="6" t="s">
        <v>30</v>
      </c>
      <c r="O474" s="3"/>
      <c r="P474" s="4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6.5" customHeight="1" x14ac:dyDescent="0.3">
      <c r="A475" s="5">
        <v>45650</v>
      </c>
      <c r="B475" s="6" t="s">
        <v>77</v>
      </c>
      <c r="C475" s="6" t="s">
        <v>78</v>
      </c>
      <c r="D475" s="7" t="s">
        <v>49</v>
      </c>
      <c r="E475" s="6" t="s">
        <v>17</v>
      </c>
      <c r="F475" s="8" t="s">
        <v>25</v>
      </c>
      <c r="G475" s="8" t="str">
        <f t="shared" si="2"/>
        <v>Marketing</v>
      </c>
      <c r="H475" s="8" t="s">
        <v>19</v>
      </c>
      <c r="I475" s="9">
        <v>7514</v>
      </c>
      <c r="J475" s="10">
        <v>0.25</v>
      </c>
      <c r="K475" s="11">
        <f t="shared" si="3"/>
        <v>1878.5</v>
      </c>
      <c r="L475" s="6" t="s">
        <v>20</v>
      </c>
      <c r="M475" s="6" t="s">
        <v>25</v>
      </c>
      <c r="N475" s="6" t="s">
        <v>37</v>
      </c>
      <c r="O475" s="3"/>
      <c r="P475" s="4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6.5" customHeight="1" x14ac:dyDescent="0.3">
      <c r="A476" s="5">
        <v>45650</v>
      </c>
      <c r="B476" s="6" t="s">
        <v>77</v>
      </c>
      <c r="C476" s="6" t="s">
        <v>78</v>
      </c>
      <c r="D476" s="7" t="s">
        <v>31</v>
      </c>
      <c r="E476" s="6" t="s">
        <v>24</v>
      </c>
      <c r="F476" s="8" t="s">
        <v>18</v>
      </c>
      <c r="G476" s="8" t="str">
        <f t="shared" si="2"/>
        <v>Marketing</v>
      </c>
      <c r="H476" s="8" t="s">
        <v>42</v>
      </c>
      <c r="I476" s="9">
        <v>8803</v>
      </c>
      <c r="J476" s="10">
        <v>0.3</v>
      </c>
      <c r="K476" s="11">
        <f t="shared" si="3"/>
        <v>2640.9</v>
      </c>
      <c r="L476" s="6" t="s">
        <v>27</v>
      </c>
      <c r="M476" s="6" t="s">
        <v>46</v>
      </c>
      <c r="N476" s="6" t="s">
        <v>22</v>
      </c>
      <c r="O476" s="3"/>
      <c r="P476" s="4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6.5" customHeight="1" x14ac:dyDescent="0.3">
      <c r="A477" s="5">
        <v>45651</v>
      </c>
      <c r="B477" s="6" t="s">
        <v>77</v>
      </c>
      <c r="C477" s="6" t="s">
        <v>78</v>
      </c>
      <c r="D477" s="7" t="s">
        <v>56</v>
      </c>
      <c r="E477" s="6" t="s">
        <v>17</v>
      </c>
      <c r="F477" s="8" t="s">
        <v>39</v>
      </c>
      <c r="G477" s="8" t="str">
        <f t="shared" si="2"/>
        <v>Design</v>
      </c>
      <c r="H477" s="8" t="s">
        <v>19</v>
      </c>
      <c r="I477" s="9">
        <v>9148</v>
      </c>
      <c r="J477" s="10">
        <v>0.35</v>
      </c>
      <c r="K477" s="11">
        <f t="shared" si="3"/>
        <v>3201.7999999999997</v>
      </c>
      <c r="L477" s="6" t="s">
        <v>27</v>
      </c>
      <c r="M477" s="6" t="s">
        <v>21</v>
      </c>
      <c r="N477" s="6" t="s">
        <v>22</v>
      </c>
      <c r="O477" s="3"/>
      <c r="P477" s="4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6.5" customHeight="1" x14ac:dyDescent="0.3">
      <c r="A478" s="5">
        <v>45653</v>
      </c>
      <c r="B478" s="6" t="s">
        <v>77</v>
      </c>
      <c r="C478" s="6" t="s">
        <v>78</v>
      </c>
      <c r="D478" s="7" t="s">
        <v>47</v>
      </c>
      <c r="E478" s="6" t="s">
        <v>24</v>
      </c>
      <c r="F478" s="8" t="s">
        <v>39</v>
      </c>
      <c r="G478" s="8" t="str">
        <f t="shared" si="2"/>
        <v>Design</v>
      </c>
      <c r="H478" s="8" t="s">
        <v>19</v>
      </c>
      <c r="I478" s="9">
        <v>8041</v>
      </c>
      <c r="J478" s="10">
        <v>0.35</v>
      </c>
      <c r="K478" s="11">
        <f t="shared" si="3"/>
        <v>2814.35</v>
      </c>
      <c r="L478" s="6" t="s">
        <v>20</v>
      </c>
      <c r="M478" s="6" t="s">
        <v>21</v>
      </c>
      <c r="N478" s="6" t="s">
        <v>30</v>
      </c>
      <c r="O478" s="3"/>
      <c r="P478" s="4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6.5" customHeight="1" x14ac:dyDescent="0.3">
      <c r="A479" s="5">
        <v>45653</v>
      </c>
      <c r="B479" s="6" t="s">
        <v>77</v>
      </c>
      <c r="C479" s="6" t="s">
        <v>78</v>
      </c>
      <c r="D479" s="7" t="s">
        <v>59</v>
      </c>
      <c r="E479" s="6" t="s">
        <v>24</v>
      </c>
      <c r="F479" s="8" t="s">
        <v>32</v>
      </c>
      <c r="G479" s="8" t="str">
        <f t="shared" si="2"/>
        <v>Design</v>
      </c>
      <c r="H479" s="8" t="s">
        <v>26</v>
      </c>
      <c r="I479" s="9">
        <v>11892</v>
      </c>
      <c r="J479" s="10">
        <v>0.4</v>
      </c>
      <c r="K479" s="11">
        <f t="shared" si="3"/>
        <v>4756.8</v>
      </c>
      <c r="L479" s="6" t="s">
        <v>20</v>
      </c>
      <c r="M479" s="6" t="s">
        <v>46</v>
      </c>
      <c r="N479" s="6" t="s">
        <v>37</v>
      </c>
      <c r="O479" s="3"/>
      <c r="P479" s="4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6.5" customHeight="1" x14ac:dyDescent="0.3">
      <c r="A480" s="5">
        <v>45654</v>
      </c>
      <c r="B480" s="6" t="s">
        <v>77</v>
      </c>
      <c r="C480" s="6" t="s">
        <v>78</v>
      </c>
      <c r="D480" s="7" t="s">
        <v>73</v>
      </c>
      <c r="E480" s="6" t="s">
        <v>24</v>
      </c>
      <c r="F480" s="8" t="s">
        <v>39</v>
      </c>
      <c r="G480" s="8" t="str">
        <f t="shared" si="2"/>
        <v>Design</v>
      </c>
      <c r="H480" s="8" t="s">
        <v>29</v>
      </c>
      <c r="I480" s="9">
        <v>12054</v>
      </c>
      <c r="J480" s="10">
        <v>0.35</v>
      </c>
      <c r="K480" s="11">
        <f t="shared" si="3"/>
        <v>4218.8999999999996</v>
      </c>
      <c r="L480" s="6" t="s">
        <v>20</v>
      </c>
      <c r="M480" s="6" t="s">
        <v>46</v>
      </c>
      <c r="N480" s="6" t="s">
        <v>30</v>
      </c>
      <c r="O480" s="3"/>
      <c r="P480" s="4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6.5" customHeight="1" x14ac:dyDescent="0.3">
      <c r="A481" s="12">
        <v>45657</v>
      </c>
      <c r="B481" s="6" t="s">
        <v>77</v>
      </c>
      <c r="C481" s="6" t="s">
        <v>78</v>
      </c>
      <c r="D481" s="13" t="s">
        <v>56</v>
      </c>
      <c r="E481" s="14" t="s">
        <v>17</v>
      </c>
      <c r="F481" s="15" t="s">
        <v>39</v>
      </c>
      <c r="G481" s="15" t="str">
        <f t="shared" si="2"/>
        <v>Design</v>
      </c>
      <c r="H481" s="15" t="s">
        <v>26</v>
      </c>
      <c r="I481" s="16">
        <v>11701</v>
      </c>
      <c r="J481" s="17">
        <v>0.35</v>
      </c>
      <c r="K481" s="18">
        <f t="shared" si="3"/>
        <v>4095.35</v>
      </c>
      <c r="L481" s="14" t="s">
        <v>20</v>
      </c>
      <c r="M481" s="14" t="s">
        <v>21</v>
      </c>
      <c r="N481" s="14" t="s">
        <v>34</v>
      </c>
      <c r="O481" s="3"/>
      <c r="P481" s="4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6.5" customHeight="1" x14ac:dyDescent="0.3">
      <c r="A482" s="4"/>
      <c r="B482" s="4"/>
      <c r="C482" s="4"/>
      <c r="D482" s="3"/>
      <c r="E482" s="4"/>
      <c r="F482" s="4"/>
      <c r="G482" s="4"/>
      <c r="H482" s="4"/>
      <c r="I482" s="3"/>
      <c r="J482" s="3"/>
      <c r="K482" s="3"/>
      <c r="L482" s="4"/>
      <c r="M482" s="4"/>
      <c r="N482" s="4"/>
      <c r="O482" s="3"/>
      <c r="P482" s="4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6.5" customHeight="1" x14ac:dyDescent="0.3">
      <c r="A483" s="4"/>
      <c r="B483" s="4"/>
      <c r="C483" s="4"/>
      <c r="D483" s="3"/>
      <c r="E483" s="4"/>
      <c r="F483" s="4"/>
      <c r="G483" s="4"/>
      <c r="H483" s="4"/>
      <c r="I483" s="3"/>
      <c r="J483" s="3"/>
      <c r="K483" s="3"/>
      <c r="L483" s="4"/>
      <c r="M483" s="4"/>
      <c r="N483" s="4"/>
      <c r="O483" s="3"/>
      <c r="P483" s="4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6.5" customHeight="1" x14ac:dyDescent="0.3">
      <c r="A484" s="4"/>
      <c r="B484" s="4"/>
      <c r="C484" s="4"/>
      <c r="D484" s="3"/>
      <c r="E484" s="4"/>
      <c r="F484" s="4"/>
      <c r="G484" s="4"/>
      <c r="H484" s="4"/>
      <c r="I484" s="3"/>
      <c r="J484" s="3"/>
      <c r="K484" s="3"/>
      <c r="L484" s="4"/>
      <c r="M484" s="4"/>
      <c r="N484" s="4"/>
      <c r="O484" s="3"/>
      <c r="P484" s="4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6.5" customHeight="1" x14ac:dyDescent="0.3">
      <c r="A485" s="4"/>
      <c r="B485" s="4"/>
      <c r="C485" s="4"/>
      <c r="D485" s="3"/>
      <c r="E485" s="4"/>
      <c r="F485" s="4"/>
      <c r="G485" s="4"/>
      <c r="H485" s="4"/>
      <c r="I485" s="3"/>
      <c r="J485" s="3"/>
      <c r="K485" s="3"/>
      <c r="L485" s="4"/>
      <c r="M485" s="4"/>
      <c r="N485" s="4"/>
      <c r="O485" s="3"/>
      <c r="P485" s="4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6.5" customHeight="1" x14ac:dyDescent="0.3">
      <c r="A486" s="4"/>
      <c r="B486" s="4"/>
      <c r="C486" s="4"/>
      <c r="D486" s="3"/>
      <c r="E486" s="4"/>
      <c r="F486" s="4"/>
      <c r="G486" s="4"/>
      <c r="H486" s="4"/>
      <c r="I486" s="3"/>
      <c r="J486" s="3"/>
      <c r="K486" s="3"/>
      <c r="L486" s="4"/>
      <c r="M486" s="4"/>
      <c r="N486" s="4"/>
      <c r="O486" s="3"/>
      <c r="P486" s="4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6.5" customHeight="1" x14ac:dyDescent="0.3">
      <c r="A487" s="4"/>
      <c r="B487" s="4"/>
      <c r="C487" s="4"/>
      <c r="D487" s="3"/>
      <c r="E487" s="4"/>
      <c r="F487" s="4"/>
      <c r="G487" s="4"/>
      <c r="H487" s="4"/>
      <c r="I487" s="3"/>
      <c r="J487" s="3"/>
      <c r="K487" s="3"/>
      <c r="L487" s="4"/>
      <c r="M487" s="4"/>
      <c r="N487" s="4"/>
      <c r="O487" s="3"/>
      <c r="P487" s="4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6.5" customHeight="1" x14ac:dyDescent="0.3">
      <c r="A488" s="4"/>
      <c r="B488" s="4"/>
      <c r="C488" s="4"/>
      <c r="D488" s="3"/>
      <c r="E488" s="4"/>
      <c r="F488" s="4"/>
      <c r="G488" s="4"/>
      <c r="H488" s="4"/>
      <c r="I488" s="3"/>
      <c r="J488" s="3"/>
      <c r="K488" s="3"/>
      <c r="L488" s="4"/>
      <c r="M488" s="4"/>
      <c r="N488" s="4"/>
      <c r="O488" s="3"/>
      <c r="P488" s="4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6.5" customHeight="1" x14ac:dyDescent="0.3">
      <c r="A489" s="4"/>
      <c r="B489" s="4"/>
      <c r="C489" s="4"/>
      <c r="D489" s="3"/>
      <c r="E489" s="4"/>
      <c r="F489" s="4"/>
      <c r="G489" s="4"/>
      <c r="H489" s="4"/>
      <c r="I489" s="3"/>
      <c r="J489" s="3"/>
      <c r="K489" s="3"/>
      <c r="L489" s="4"/>
      <c r="M489" s="4"/>
      <c r="N489" s="4"/>
      <c r="O489" s="3"/>
      <c r="P489" s="4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6.5" customHeight="1" x14ac:dyDescent="0.3">
      <c r="A490" s="4"/>
      <c r="B490" s="4"/>
      <c r="C490" s="4"/>
      <c r="D490" s="3"/>
      <c r="E490" s="4"/>
      <c r="F490" s="4"/>
      <c r="G490" s="4"/>
      <c r="H490" s="4"/>
      <c r="I490" s="3"/>
      <c r="J490" s="3"/>
      <c r="K490" s="3"/>
      <c r="L490" s="4"/>
      <c r="M490" s="4"/>
      <c r="N490" s="4"/>
      <c r="O490" s="3"/>
      <c r="P490" s="4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6.5" customHeight="1" x14ac:dyDescent="0.3">
      <c r="A491" s="4"/>
      <c r="B491" s="4"/>
      <c r="C491" s="4"/>
      <c r="D491" s="3"/>
      <c r="E491" s="4"/>
      <c r="F491" s="4"/>
      <c r="G491" s="4"/>
      <c r="H491" s="4"/>
      <c r="I491" s="3"/>
      <c r="J491" s="3"/>
      <c r="K491" s="3"/>
      <c r="L491" s="4"/>
      <c r="M491" s="4"/>
      <c r="N491" s="4"/>
      <c r="O491" s="3"/>
      <c r="P491" s="4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6.5" customHeight="1" x14ac:dyDescent="0.3">
      <c r="A492" s="4"/>
      <c r="B492" s="4"/>
      <c r="C492" s="4"/>
      <c r="D492" s="3"/>
      <c r="E492" s="4"/>
      <c r="F492" s="4"/>
      <c r="G492" s="4"/>
      <c r="H492" s="4"/>
      <c r="I492" s="3"/>
      <c r="J492" s="3"/>
      <c r="K492" s="3"/>
      <c r="L492" s="4"/>
      <c r="M492" s="4"/>
      <c r="N492" s="4"/>
      <c r="O492" s="3"/>
      <c r="P492" s="4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6.5" customHeight="1" x14ac:dyDescent="0.3">
      <c r="A493" s="4"/>
      <c r="B493" s="4"/>
      <c r="C493" s="4"/>
      <c r="D493" s="3"/>
      <c r="E493" s="4"/>
      <c r="F493" s="4"/>
      <c r="G493" s="4"/>
      <c r="H493" s="4"/>
      <c r="I493" s="3"/>
      <c r="J493" s="3"/>
      <c r="K493" s="3"/>
      <c r="L493" s="4"/>
      <c r="M493" s="4"/>
      <c r="N493" s="4"/>
      <c r="O493" s="3"/>
      <c r="P493" s="4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6.5" customHeight="1" x14ac:dyDescent="0.3">
      <c r="A494" s="4"/>
      <c r="B494" s="4"/>
      <c r="C494" s="4"/>
      <c r="D494" s="3"/>
      <c r="E494" s="4"/>
      <c r="F494" s="4"/>
      <c r="G494" s="4"/>
      <c r="H494" s="4"/>
      <c r="I494" s="3"/>
      <c r="J494" s="3"/>
      <c r="K494" s="3"/>
      <c r="L494" s="4"/>
      <c r="M494" s="4"/>
      <c r="N494" s="4"/>
      <c r="O494" s="3"/>
      <c r="P494" s="4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6.5" customHeight="1" x14ac:dyDescent="0.3">
      <c r="A495" s="4"/>
      <c r="B495" s="4"/>
      <c r="C495" s="4"/>
      <c r="D495" s="3"/>
      <c r="E495" s="4"/>
      <c r="F495" s="4"/>
      <c r="G495" s="4"/>
      <c r="H495" s="4"/>
      <c r="I495" s="3"/>
      <c r="J495" s="3"/>
      <c r="K495" s="3"/>
      <c r="L495" s="4"/>
      <c r="M495" s="4"/>
      <c r="N495" s="4"/>
      <c r="O495" s="3"/>
      <c r="P495" s="4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6.5" customHeight="1" x14ac:dyDescent="0.3">
      <c r="A496" s="4"/>
      <c r="B496" s="4"/>
      <c r="C496" s="4"/>
      <c r="D496" s="3"/>
      <c r="E496" s="4"/>
      <c r="F496" s="4"/>
      <c r="G496" s="4"/>
      <c r="H496" s="4"/>
      <c r="I496" s="3"/>
      <c r="J496" s="3"/>
      <c r="K496" s="3"/>
      <c r="L496" s="4"/>
      <c r="M496" s="4"/>
      <c r="N496" s="4"/>
      <c r="O496" s="3"/>
      <c r="P496" s="4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6.5" customHeight="1" x14ac:dyDescent="0.3">
      <c r="A497" s="4"/>
      <c r="B497" s="4"/>
      <c r="C497" s="4"/>
      <c r="D497" s="3"/>
      <c r="E497" s="4"/>
      <c r="F497" s="4"/>
      <c r="G497" s="4"/>
      <c r="H497" s="4"/>
      <c r="I497" s="3"/>
      <c r="J497" s="3"/>
      <c r="K497" s="3"/>
      <c r="L497" s="4"/>
      <c r="M497" s="4"/>
      <c r="N497" s="4"/>
      <c r="O497" s="3"/>
      <c r="P497" s="4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6.5" customHeight="1" x14ac:dyDescent="0.3">
      <c r="A498" s="4"/>
      <c r="B498" s="4"/>
      <c r="C498" s="4"/>
      <c r="D498" s="3"/>
      <c r="E498" s="4"/>
      <c r="F498" s="4"/>
      <c r="G498" s="4"/>
      <c r="H498" s="4"/>
      <c r="I498" s="3"/>
      <c r="J498" s="3"/>
      <c r="K498" s="3"/>
      <c r="L498" s="4"/>
      <c r="M498" s="4"/>
      <c r="N498" s="4"/>
      <c r="O498" s="3"/>
      <c r="P498" s="4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6.5" customHeight="1" x14ac:dyDescent="0.3">
      <c r="A499" s="4"/>
      <c r="B499" s="4"/>
      <c r="C499" s="4"/>
      <c r="D499" s="3"/>
      <c r="E499" s="4"/>
      <c r="F499" s="4"/>
      <c r="G499" s="4"/>
      <c r="H499" s="4"/>
      <c r="I499" s="3"/>
      <c r="J499" s="3"/>
      <c r="K499" s="3"/>
      <c r="L499" s="4"/>
      <c r="M499" s="4"/>
      <c r="N499" s="4"/>
      <c r="O499" s="3"/>
      <c r="P499" s="4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6.5" customHeight="1" x14ac:dyDescent="0.3">
      <c r="A500" s="4"/>
      <c r="B500" s="4"/>
      <c r="C500" s="4"/>
      <c r="D500" s="3"/>
      <c r="E500" s="4"/>
      <c r="F500" s="4"/>
      <c r="G500" s="4"/>
      <c r="H500" s="4"/>
      <c r="I500" s="3"/>
      <c r="J500" s="3"/>
      <c r="K500" s="3"/>
      <c r="L500" s="4"/>
      <c r="M500" s="4"/>
      <c r="N500" s="4"/>
      <c r="O500" s="3"/>
      <c r="P500" s="4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6.5" customHeight="1" x14ac:dyDescent="0.3">
      <c r="A501" s="4"/>
      <c r="B501" s="4"/>
      <c r="C501" s="4"/>
      <c r="D501" s="3"/>
      <c r="E501" s="4"/>
      <c r="F501" s="4"/>
      <c r="G501" s="4"/>
      <c r="H501" s="4"/>
      <c r="I501" s="3"/>
      <c r="J501" s="3"/>
      <c r="K501" s="3"/>
      <c r="L501" s="4"/>
      <c r="M501" s="4"/>
      <c r="N501" s="4"/>
      <c r="O501" s="3"/>
      <c r="P501" s="4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6.5" customHeight="1" x14ac:dyDescent="0.3">
      <c r="A502" s="4"/>
      <c r="B502" s="4"/>
      <c r="C502" s="4"/>
      <c r="D502" s="3"/>
      <c r="E502" s="4"/>
      <c r="F502" s="4"/>
      <c r="G502" s="4"/>
      <c r="H502" s="4"/>
      <c r="I502" s="3"/>
      <c r="J502" s="3"/>
      <c r="K502" s="3"/>
      <c r="L502" s="4"/>
      <c r="M502" s="4"/>
      <c r="N502" s="4"/>
      <c r="O502" s="3"/>
      <c r="P502" s="4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6.5" customHeight="1" x14ac:dyDescent="0.3">
      <c r="A503" s="4"/>
      <c r="B503" s="4"/>
      <c r="C503" s="4"/>
      <c r="D503" s="3"/>
      <c r="E503" s="4"/>
      <c r="F503" s="4"/>
      <c r="G503" s="4"/>
      <c r="H503" s="4"/>
      <c r="I503" s="3"/>
      <c r="J503" s="3"/>
      <c r="K503" s="3"/>
      <c r="L503" s="4"/>
      <c r="M503" s="4"/>
      <c r="N503" s="4"/>
      <c r="O503" s="3"/>
      <c r="P503" s="4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6.5" customHeight="1" x14ac:dyDescent="0.3">
      <c r="A504" s="4"/>
      <c r="B504" s="4"/>
      <c r="C504" s="4"/>
      <c r="D504" s="3"/>
      <c r="E504" s="4"/>
      <c r="F504" s="4"/>
      <c r="G504" s="4"/>
      <c r="H504" s="4"/>
      <c r="I504" s="3"/>
      <c r="J504" s="3"/>
      <c r="K504" s="3"/>
      <c r="L504" s="4"/>
      <c r="M504" s="4"/>
      <c r="N504" s="4"/>
      <c r="O504" s="3"/>
      <c r="P504" s="4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6.5" customHeight="1" x14ac:dyDescent="0.3">
      <c r="A505" s="4"/>
      <c r="B505" s="4"/>
      <c r="C505" s="4"/>
      <c r="D505" s="3"/>
      <c r="E505" s="4"/>
      <c r="F505" s="4"/>
      <c r="G505" s="4"/>
      <c r="H505" s="4"/>
      <c r="I505" s="3"/>
      <c r="J505" s="3"/>
      <c r="K505" s="3"/>
      <c r="L505" s="4"/>
      <c r="M505" s="4"/>
      <c r="N505" s="4"/>
      <c r="O505" s="3"/>
      <c r="P505" s="4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6.5" customHeight="1" x14ac:dyDescent="0.3">
      <c r="A506" s="4"/>
      <c r="B506" s="4"/>
      <c r="C506" s="4"/>
      <c r="D506" s="3"/>
      <c r="E506" s="4"/>
      <c r="F506" s="4"/>
      <c r="G506" s="4"/>
      <c r="H506" s="4"/>
      <c r="I506" s="3"/>
      <c r="J506" s="3"/>
      <c r="K506" s="3"/>
      <c r="L506" s="4"/>
      <c r="M506" s="4"/>
      <c r="N506" s="4"/>
      <c r="O506" s="3"/>
      <c r="P506" s="4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6.5" customHeight="1" x14ac:dyDescent="0.3">
      <c r="A507" s="4"/>
      <c r="B507" s="4"/>
      <c r="C507" s="4"/>
      <c r="D507" s="3"/>
      <c r="E507" s="4"/>
      <c r="F507" s="4"/>
      <c r="G507" s="4"/>
      <c r="H507" s="4"/>
      <c r="I507" s="3"/>
      <c r="J507" s="3"/>
      <c r="K507" s="3"/>
      <c r="L507" s="4"/>
      <c r="M507" s="4"/>
      <c r="N507" s="4"/>
      <c r="O507" s="3"/>
      <c r="P507" s="4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6.5" customHeight="1" x14ac:dyDescent="0.3">
      <c r="A508" s="4"/>
      <c r="B508" s="4"/>
      <c r="C508" s="4"/>
      <c r="D508" s="3"/>
      <c r="E508" s="4"/>
      <c r="F508" s="4"/>
      <c r="G508" s="4"/>
      <c r="H508" s="4"/>
      <c r="I508" s="3"/>
      <c r="J508" s="3"/>
      <c r="K508" s="3"/>
      <c r="L508" s="4"/>
      <c r="M508" s="4"/>
      <c r="N508" s="4"/>
      <c r="O508" s="3"/>
      <c r="P508" s="4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6.5" customHeight="1" x14ac:dyDescent="0.3">
      <c r="A509" s="4"/>
      <c r="B509" s="4"/>
      <c r="C509" s="4"/>
      <c r="D509" s="3"/>
      <c r="E509" s="4"/>
      <c r="F509" s="4"/>
      <c r="G509" s="4"/>
      <c r="H509" s="4"/>
      <c r="I509" s="3"/>
      <c r="J509" s="3"/>
      <c r="K509" s="3"/>
      <c r="L509" s="4"/>
      <c r="M509" s="4"/>
      <c r="N509" s="4"/>
      <c r="O509" s="3"/>
      <c r="P509" s="4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6.5" customHeight="1" x14ac:dyDescent="0.3">
      <c r="A510" s="4"/>
      <c r="B510" s="4"/>
      <c r="C510" s="4"/>
      <c r="D510" s="3"/>
      <c r="E510" s="4"/>
      <c r="F510" s="4"/>
      <c r="G510" s="4"/>
      <c r="H510" s="4"/>
      <c r="I510" s="3"/>
      <c r="J510" s="3"/>
      <c r="K510" s="3"/>
      <c r="L510" s="4"/>
      <c r="M510" s="4"/>
      <c r="N510" s="4"/>
      <c r="O510" s="3"/>
      <c r="P510" s="4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6.5" customHeight="1" x14ac:dyDescent="0.3">
      <c r="A511" s="4"/>
      <c r="B511" s="4"/>
      <c r="C511" s="4"/>
      <c r="D511" s="3"/>
      <c r="E511" s="4"/>
      <c r="F511" s="4"/>
      <c r="G511" s="4"/>
      <c r="H511" s="4"/>
      <c r="I511" s="3"/>
      <c r="J511" s="3"/>
      <c r="K511" s="3"/>
      <c r="L511" s="4"/>
      <c r="M511" s="4"/>
      <c r="N511" s="4"/>
      <c r="O511" s="3"/>
      <c r="P511" s="4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6.5" customHeight="1" x14ac:dyDescent="0.3">
      <c r="A512" s="4"/>
      <c r="B512" s="4"/>
      <c r="C512" s="4"/>
      <c r="D512" s="3"/>
      <c r="E512" s="4"/>
      <c r="F512" s="4"/>
      <c r="G512" s="4"/>
      <c r="H512" s="4"/>
      <c r="I512" s="3"/>
      <c r="J512" s="3"/>
      <c r="K512" s="3"/>
      <c r="L512" s="4"/>
      <c r="M512" s="4"/>
      <c r="N512" s="4"/>
      <c r="O512" s="3"/>
      <c r="P512" s="4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6.5" customHeight="1" x14ac:dyDescent="0.3">
      <c r="A513" s="4"/>
      <c r="B513" s="4"/>
      <c r="C513" s="4"/>
      <c r="D513" s="3"/>
      <c r="E513" s="4"/>
      <c r="F513" s="4"/>
      <c r="G513" s="4"/>
      <c r="H513" s="4"/>
      <c r="I513" s="3"/>
      <c r="J513" s="3"/>
      <c r="K513" s="3"/>
      <c r="L513" s="4"/>
      <c r="M513" s="4"/>
      <c r="N513" s="4"/>
      <c r="O513" s="3"/>
      <c r="P513" s="4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6.5" customHeight="1" x14ac:dyDescent="0.3">
      <c r="A514" s="4"/>
      <c r="B514" s="4"/>
      <c r="C514" s="4"/>
      <c r="D514" s="3"/>
      <c r="E514" s="4"/>
      <c r="F514" s="4"/>
      <c r="G514" s="4"/>
      <c r="H514" s="4"/>
      <c r="I514" s="3"/>
      <c r="J514" s="3"/>
      <c r="K514" s="3"/>
      <c r="L514" s="4"/>
      <c r="M514" s="4"/>
      <c r="N514" s="4"/>
      <c r="O514" s="3"/>
      <c r="P514" s="4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6.5" customHeight="1" x14ac:dyDescent="0.3">
      <c r="A515" s="4"/>
      <c r="B515" s="4"/>
      <c r="C515" s="4"/>
      <c r="D515" s="3"/>
      <c r="E515" s="4"/>
      <c r="F515" s="4"/>
      <c r="G515" s="4"/>
      <c r="H515" s="4"/>
      <c r="I515" s="3"/>
      <c r="J515" s="3"/>
      <c r="K515" s="3"/>
      <c r="L515" s="4"/>
      <c r="M515" s="4"/>
      <c r="N515" s="4"/>
      <c r="O515" s="3"/>
      <c r="P515" s="4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6.5" customHeight="1" x14ac:dyDescent="0.3">
      <c r="A516" s="4"/>
      <c r="B516" s="4"/>
      <c r="C516" s="4"/>
      <c r="D516" s="3"/>
      <c r="E516" s="4"/>
      <c r="F516" s="4"/>
      <c r="G516" s="4"/>
      <c r="H516" s="4"/>
      <c r="I516" s="3"/>
      <c r="J516" s="3"/>
      <c r="K516" s="3"/>
      <c r="L516" s="4"/>
      <c r="M516" s="4"/>
      <c r="N516" s="4"/>
      <c r="O516" s="3"/>
      <c r="P516" s="4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6.5" customHeight="1" x14ac:dyDescent="0.3">
      <c r="A517" s="4"/>
      <c r="B517" s="4"/>
      <c r="C517" s="4"/>
      <c r="D517" s="3"/>
      <c r="E517" s="4"/>
      <c r="F517" s="4"/>
      <c r="G517" s="4"/>
      <c r="H517" s="4"/>
      <c r="I517" s="3"/>
      <c r="J517" s="3"/>
      <c r="K517" s="3"/>
      <c r="L517" s="4"/>
      <c r="M517" s="4"/>
      <c r="N517" s="4"/>
      <c r="O517" s="3"/>
      <c r="P517" s="4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6.5" customHeight="1" x14ac:dyDescent="0.3">
      <c r="A518" s="4"/>
      <c r="B518" s="4"/>
      <c r="C518" s="4"/>
      <c r="D518" s="3"/>
      <c r="E518" s="4"/>
      <c r="F518" s="4"/>
      <c r="G518" s="4"/>
      <c r="H518" s="4"/>
      <c r="I518" s="3"/>
      <c r="J518" s="3"/>
      <c r="K518" s="3"/>
      <c r="L518" s="4"/>
      <c r="M518" s="4"/>
      <c r="N518" s="4"/>
      <c r="O518" s="3"/>
      <c r="P518" s="4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6.5" customHeight="1" x14ac:dyDescent="0.3">
      <c r="A519" s="4"/>
      <c r="B519" s="4"/>
      <c r="C519" s="4"/>
      <c r="D519" s="3"/>
      <c r="E519" s="4"/>
      <c r="F519" s="4"/>
      <c r="G519" s="4"/>
      <c r="H519" s="4"/>
      <c r="I519" s="3"/>
      <c r="J519" s="3"/>
      <c r="K519" s="3"/>
      <c r="L519" s="4"/>
      <c r="M519" s="4"/>
      <c r="N519" s="4"/>
      <c r="O519" s="3"/>
      <c r="P519" s="4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6.5" customHeight="1" x14ac:dyDescent="0.3">
      <c r="A520" s="4"/>
      <c r="B520" s="4"/>
      <c r="C520" s="4"/>
      <c r="D520" s="3"/>
      <c r="E520" s="4"/>
      <c r="F520" s="4"/>
      <c r="G520" s="4"/>
      <c r="H520" s="4"/>
      <c r="I520" s="3"/>
      <c r="J520" s="3"/>
      <c r="K520" s="3"/>
      <c r="L520" s="4"/>
      <c r="M520" s="4"/>
      <c r="N520" s="4"/>
      <c r="O520" s="3"/>
      <c r="P520" s="4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6.5" customHeight="1" x14ac:dyDescent="0.3">
      <c r="A521" s="4"/>
      <c r="B521" s="4"/>
      <c r="C521" s="4"/>
      <c r="D521" s="3"/>
      <c r="E521" s="4"/>
      <c r="F521" s="4"/>
      <c r="G521" s="4"/>
      <c r="H521" s="4"/>
      <c r="I521" s="3"/>
      <c r="J521" s="3"/>
      <c r="K521" s="3"/>
      <c r="L521" s="4"/>
      <c r="M521" s="4"/>
      <c r="N521" s="4"/>
      <c r="O521" s="3"/>
      <c r="P521" s="4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6.5" customHeight="1" x14ac:dyDescent="0.3">
      <c r="A522" s="4"/>
      <c r="B522" s="4"/>
      <c r="C522" s="4"/>
      <c r="D522" s="3"/>
      <c r="E522" s="4"/>
      <c r="F522" s="4"/>
      <c r="G522" s="4"/>
      <c r="H522" s="4"/>
      <c r="I522" s="3"/>
      <c r="J522" s="3"/>
      <c r="K522" s="3"/>
      <c r="L522" s="4"/>
      <c r="M522" s="4"/>
      <c r="N522" s="4"/>
      <c r="O522" s="3"/>
      <c r="P522" s="4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6.5" customHeight="1" x14ac:dyDescent="0.3">
      <c r="A523" s="4"/>
      <c r="B523" s="4"/>
      <c r="C523" s="4"/>
      <c r="D523" s="3"/>
      <c r="E523" s="4"/>
      <c r="F523" s="4"/>
      <c r="G523" s="4"/>
      <c r="H523" s="4"/>
      <c r="I523" s="3"/>
      <c r="J523" s="3"/>
      <c r="K523" s="3"/>
      <c r="L523" s="4"/>
      <c r="M523" s="4"/>
      <c r="N523" s="4"/>
      <c r="O523" s="3"/>
      <c r="P523" s="4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6.5" customHeight="1" x14ac:dyDescent="0.3">
      <c r="A524" s="4"/>
      <c r="B524" s="4"/>
      <c r="C524" s="4"/>
      <c r="D524" s="3"/>
      <c r="E524" s="4"/>
      <c r="F524" s="4"/>
      <c r="G524" s="4"/>
      <c r="H524" s="4"/>
      <c r="I524" s="3"/>
      <c r="J524" s="3"/>
      <c r="K524" s="3"/>
      <c r="L524" s="4"/>
      <c r="M524" s="4"/>
      <c r="N524" s="4"/>
      <c r="O524" s="3"/>
      <c r="P524" s="4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6.5" customHeight="1" x14ac:dyDescent="0.3">
      <c r="A525" s="4"/>
      <c r="B525" s="4"/>
      <c r="C525" s="4"/>
      <c r="D525" s="3"/>
      <c r="E525" s="4"/>
      <c r="F525" s="4"/>
      <c r="G525" s="4"/>
      <c r="H525" s="4"/>
      <c r="I525" s="3"/>
      <c r="J525" s="3"/>
      <c r="K525" s="3"/>
      <c r="L525" s="4"/>
      <c r="M525" s="4"/>
      <c r="N525" s="4"/>
      <c r="O525" s="3"/>
      <c r="P525" s="4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6.5" customHeight="1" x14ac:dyDescent="0.3">
      <c r="A526" s="4"/>
      <c r="B526" s="4"/>
      <c r="C526" s="4"/>
      <c r="D526" s="3"/>
      <c r="E526" s="4"/>
      <c r="F526" s="4"/>
      <c r="G526" s="4"/>
      <c r="H526" s="4"/>
      <c r="I526" s="3"/>
      <c r="J526" s="3"/>
      <c r="K526" s="3"/>
      <c r="L526" s="4"/>
      <c r="M526" s="4"/>
      <c r="N526" s="4"/>
      <c r="O526" s="3"/>
      <c r="P526" s="4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6.5" customHeight="1" x14ac:dyDescent="0.3">
      <c r="A527" s="4"/>
      <c r="B527" s="4"/>
      <c r="C527" s="4"/>
      <c r="D527" s="3"/>
      <c r="E527" s="4"/>
      <c r="F527" s="4"/>
      <c r="G527" s="4"/>
      <c r="H527" s="4"/>
      <c r="I527" s="3"/>
      <c r="J527" s="3"/>
      <c r="K527" s="3"/>
      <c r="L527" s="4"/>
      <c r="M527" s="4"/>
      <c r="N527" s="4"/>
      <c r="O527" s="3"/>
      <c r="P527" s="4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6.5" customHeight="1" x14ac:dyDescent="0.3">
      <c r="A528" s="4"/>
      <c r="B528" s="4"/>
      <c r="C528" s="4"/>
      <c r="D528" s="3"/>
      <c r="E528" s="4"/>
      <c r="F528" s="4"/>
      <c r="G528" s="4"/>
      <c r="H528" s="4"/>
      <c r="I528" s="3"/>
      <c r="J528" s="3"/>
      <c r="K528" s="3"/>
      <c r="L528" s="4"/>
      <c r="M528" s="4"/>
      <c r="N528" s="4"/>
      <c r="O528" s="3"/>
      <c r="P528" s="4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6.5" customHeight="1" x14ac:dyDescent="0.3">
      <c r="A529" s="4"/>
      <c r="B529" s="4"/>
      <c r="C529" s="4"/>
      <c r="D529" s="3"/>
      <c r="E529" s="4"/>
      <c r="F529" s="4"/>
      <c r="G529" s="4"/>
      <c r="H529" s="4"/>
      <c r="I529" s="3"/>
      <c r="J529" s="3"/>
      <c r="K529" s="3"/>
      <c r="L529" s="4"/>
      <c r="M529" s="4"/>
      <c r="N529" s="4"/>
      <c r="O529" s="3"/>
      <c r="P529" s="4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6.5" customHeight="1" x14ac:dyDescent="0.3">
      <c r="A530" s="4"/>
      <c r="B530" s="4"/>
      <c r="C530" s="4"/>
      <c r="D530" s="3"/>
      <c r="E530" s="4"/>
      <c r="F530" s="4"/>
      <c r="G530" s="4"/>
      <c r="H530" s="4"/>
      <c r="I530" s="3"/>
      <c r="J530" s="3"/>
      <c r="K530" s="3"/>
      <c r="L530" s="4"/>
      <c r="M530" s="4"/>
      <c r="N530" s="4"/>
      <c r="O530" s="3"/>
      <c r="P530" s="4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6.5" customHeight="1" x14ac:dyDescent="0.3">
      <c r="A531" s="4"/>
      <c r="B531" s="4"/>
      <c r="C531" s="4"/>
      <c r="D531" s="3"/>
      <c r="E531" s="4"/>
      <c r="F531" s="4"/>
      <c r="G531" s="4"/>
      <c r="H531" s="4"/>
      <c r="I531" s="3"/>
      <c r="J531" s="3"/>
      <c r="K531" s="3"/>
      <c r="L531" s="4"/>
      <c r="M531" s="4"/>
      <c r="N531" s="4"/>
      <c r="O531" s="3"/>
      <c r="P531" s="4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6.5" customHeight="1" x14ac:dyDescent="0.3">
      <c r="A532" s="4"/>
      <c r="B532" s="4"/>
      <c r="C532" s="4"/>
      <c r="D532" s="3"/>
      <c r="E532" s="4"/>
      <c r="F532" s="4"/>
      <c r="G532" s="4"/>
      <c r="H532" s="4"/>
      <c r="I532" s="3"/>
      <c r="J532" s="3"/>
      <c r="K532" s="3"/>
      <c r="L532" s="4"/>
      <c r="M532" s="4"/>
      <c r="N532" s="4"/>
      <c r="O532" s="3"/>
      <c r="P532" s="4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6.5" customHeight="1" x14ac:dyDescent="0.3">
      <c r="A533" s="4"/>
      <c r="B533" s="4"/>
      <c r="C533" s="4"/>
      <c r="D533" s="3"/>
      <c r="E533" s="4"/>
      <c r="F533" s="4"/>
      <c r="G533" s="4"/>
      <c r="H533" s="4"/>
      <c r="I533" s="3"/>
      <c r="J533" s="3"/>
      <c r="K533" s="3"/>
      <c r="L533" s="4"/>
      <c r="M533" s="4"/>
      <c r="N533" s="4"/>
      <c r="O533" s="3"/>
      <c r="P533" s="4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6.5" customHeight="1" x14ac:dyDescent="0.3">
      <c r="A534" s="4"/>
      <c r="B534" s="4"/>
      <c r="C534" s="4"/>
      <c r="D534" s="3"/>
      <c r="E534" s="4"/>
      <c r="F534" s="4"/>
      <c r="G534" s="4"/>
      <c r="H534" s="4"/>
      <c r="I534" s="3"/>
      <c r="J534" s="3"/>
      <c r="K534" s="3"/>
      <c r="L534" s="4"/>
      <c r="M534" s="4"/>
      <c r="N534" s="4"/>
      <c r="O534" s="3"/>
      <c r="P534" s="4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6.5" customHeight="1" x14ac:dyDescent="0.3">
      <c r="A535" s="4"/>
      <c r="B535" s="4"/>
      <c r="C535" s="4"/>
      <c r="D535" s="3"/>
      <c r="E535" s="4"/>
      <c r="F535" s="4"/>
      <c r="G535" s="4"/>
      <c r="H535" s="4"/>
      <c r="I535" s="3"/>
      <c r="J535" s="3"/>
      <c r="K535" s="3"/>
      <c r="L535" s="4"/>
      <c r="M535" s="4"/>
      <c r="N535" s="4"/>
      <c r="O535" s="3"/>
      <c r="P535" s="4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6.5" customHeight="1" x14ac:dyDescent="0.3">
      <c r="A536" s="4"/>
      <c r="B536" s="4"/>
      <c r="C536" s="4"/>
      <c r="D536" s="3"/>
      <c r="E536" s="4"/>
      <c r="F536" s="4"/>
      <c r="G536" s="4"/>
      <c r="H536" s="4"/>
      <c r="I536" s="3"/>
      <c r="J536" s="3"/>
      <c r="K536" s="3"/>
      <c r="L536" s="4"/>
      <c r="M536" s="4"/>
      <c r="N536" s="4"/>
      <c r="O536" s="3"/>
      <c r="P536" s="4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6.5" customHeight="1" x14ac:dyDescent="0.3">
      <c r="A537" s="4"/>
      <c r="B537" s="4"/>
      <c r="C537" s="4"/>
      <c r="D537" s="3"/>
      <c r="E537" s="4"/>
      <c r="F537" s="4"/>
      <c r="G537" s="4"/>
      <c r="H537" s="4"/>
      <c r="I537" s="3"/>
      <c r="J537" s="3"/>
      <c r="K537" s="3"/>
      <c r="L537" s="4"/>
      <c r="M537" s="4"/>
      <c r="N537" s="4"/>
      <c r="O537" s="3"/>
      <c r="P537" s="4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6.5" customHeight="1" x14ac:dyDescent="0.3">
      <c r="A538" s="4"/>
      <c r="B538" s="4"/>
      <c r="C538" s="4"/>
      <c r="D538" s="3"/>
      <c r="E538" s="4"/>
      <c r="F538" s="4"/>
      <c r="G538" s="4"/>
      <c r="H538" s="4"/>
      <c r="I538" s="3"/>
      <c r="J538" s="3"/>
      <c r="K538" s="3"/>
      <c r="L538" s="4"/>
      <c r="M538" s="4"/>
      <c r="N538" s="4"/>
      <c r="O538" s="3"/>
      <c r="P538" s="4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6.5" customHeight="1" x14ac:dyDescent="0.3">
      <c r="A539" s="4"/>
      <c r="B539" s="4"/>
      <c r="C539" s="4"/>
      <c r="D539" s="3"/>
      <c r="E539" s="4"/>
      <c r="F539" s="4"/>
      <c r="G539" s="4"/>
      <c r="H539" s="4"/>
      <c r="I539" s="3"/>
      <c r="J539" s="3"/>
      <c r="K539" s="3"/>
      <c r="L539" s="4"/>
      <c r="M539" s="4"/>
      <c r="N539" s="4"/>
      <c r="O539" s="3"/>
      <c r="P539" s="4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6.5" customHeight="1" x14ac:dyDescent="0.3">
      <c r="A540" s="4"/>
      <c r="B540" s="4"/>
      <c r="C540" s="4"/>
      <c r="D540" s="3"/>
      <c r="E540" s="4"/>
      <c r="F540" s="4"/>
      <c r="G540" s="4"/>
      <c r="H540" s="4"/>
      <c r="I540" s="3"/>
      <c r="J540" s="3"/>
      <c r="K540" s="3"/>
      <c r="L540" s="4"/>
      <c r="M540" s="4"/>
      <c r="N540" s="4"/>
      <c r="O540" s="3"/>
      <c r="P540" s="4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6.5" customHeight="1" x14ac:dyDescent="0.3">
      <c r="A541" s="4"/>
      <c r="B541" s="4"/>
      <c r="C541" s="4"/>
      <c r="D541" s="3"/>
      <c r="E541" s="4"/>
      <c r="F541" s="4"/>
      <c r="G541" s="4"/>
      <c r="H541" s="4"/>
      <c r="I541" s="3"/>
      <c r="J541" s="3"/>
      <c r="K541" s="3"/>
      <c r="L541" s="4"/>
      <c r="M541" s="4"/>
      <c r="N541" s="4"/>
      <c r="O541" s="3"/>
      <c r="P541" s="4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6.5" customHeight="1" x14ac:dyDescent="0.3">
      <c r="A542" s="4"/>
      <c r="B542" s="4"/>
      <c r="C542" s="4"/>
      <c r="D542" s="3"/>
      <c r="E542" s="4"/>
      <c r="F542" s="4"/>
      <c r="G542" s="4"/>
      <c r="H542" s="4"/>
      <c r="I542" s="3"/>
      <c r="J542" s="3"/>
      <c r="K542" s="3"/>
      <c r="L542" s="4"/>
      <c r="M542" s="4"/>
      <c r="N542" s="4"/>
      <c r="O542" s="3"/>
      <c r="P542" s="4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6.5" customHeight="1" x14ac:dyDescent="0.3">
      <c r="A543" s="4"/>
      <c r="B543" s="4"/>
      <c r="C543" s="4"/>
      <c r="D543" s="3"/>
      <c r="E543" s="4"/>
      <c r="F543" s="4"/>
      <c r="G543" s="4"/>
      <c r="H543" s="4"/>
      <c r="I543" s="3"/>
      <c r="J543" s="3"/>
      <c r="K543" s="3"/>
      <c r="L543" s="4"/>
      <c r="M543" s="4"/>
      <c r="N543" s="4"/>
      <c r="O543" s="3"/>
      <c r="P543" s="4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6.5" customHeight="1" x14ac:dyDescent="0.3">
      <c r="A544" s="4"/>
      <c r="B544" s="4"/>
      <c r="C544" s="4"/>
      <c r="D544" s="3"/>
      <c r="E544" s="4"/>
      <c r="F544" s="4"/>
      <c r="G544" s="4"/>
      <c r="H544" s="4"/>
      <c r="I544" s="3"/>
      <c r="J544" s="3"/>
      <c r="K544" s="3"/>
      <c r="L544" s="4"/>
      <c r="M544" s="4"/>
      <c r="N544" s="4"/>
      <c r="O544" s="3"/>
      <c r="P544" s="4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6.5" customHeight="1" x14ac:dyDescent="0.3">
      <c r="A545" s="4"/>
      <c r="B545" s="4"/>
      <c r="C545" s="4"/>
      <c r="D545" s="3"/>
      <c r="E545" s="4"/>
      <c r="F545" s="4"/>
      <c r="G545" s="4"/>
      <c r="H545" s="4"/>
      <c r="I545" s="3"/>
      <c r="J545" s="3"/>
      <c r="K545" s="3"/>
      <c r="L545" s="4"/>
      <c r="M545" s="4"/>
      <c r="N545" s="4"/>
      <c r="O545" s="3"/>
      <c r="P545" s="4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6.5" customHeight="1" x14ac:dyDescent="0.3">
      <c r="A546" s="4"/>
      <c r="B546" s="4"/>
      <c r="C546" s="4"/>
      <c r="D546" s="3"/>
      <c r="E546" s="4"/>
      <c r="F546" s="4"/>
      <c r="G546" s="4"/>
      <c r="H546" s="4"/>
      <c r="I546" s="3"/>
      <c r="J546" s="3"/>
      <c r="K546" s="3"/>
      <c r="L546" s="4"/>
      <c r="M546" s="4"/>
      <c r="N546" s="4"/>
      <c r="O546" s="3"/>
      <c r="P546" s="4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6.5" customHeight="1" x14ac:dyDescent="0.3">
      <c r="A547" s="4"/>
      <c r="B547" s="4"/>
      <c r="C547" s="4"/>
      <c r="D547" s="3"/>
      <c r="E547" s="4"/>
      <c r="F547" s="4"/>
      <c r="G547" s="4"/>
      <c r="H547" s="4"/>
      <c r="I547" s="3"/>
      <c r="J547" s="3"/>
      <c r="K547" s="3"/>
      <c r="L547" s="4"/>
      <c r="M547" s="4"/>
      <c r="N547" s="4"/>
      <c r="O547" s="3"/>
      <c r="P547" s="4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6.5" customHeight="1" x14ac:dyDescent="0.3">
      <c r="A548" s="4"/>
      <c r="B548" s="4"/>
      <c r="C548" s="4"/>
      <c r="D548" s="3"/>
      <c r="E548" s="4"/>
      <c r="F548" s="4"/>
      <c r="G548" s="4"/>
      <c r="H548" s="4"/>
      <c r="I548" s="3"/>
      <c r="J548" s="3"/>
      <c r="K548" s="3"/>
      <c r="L548" s="4"/>
      <c r="M548" s="4"/>
      <c r="N548" s="4"/>
      <c r="O548" s="3"/>
      <c r="P548" s="4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6.5" customHeight="1" x14ac:dyDescent="0.3">
      <c r="A549" s="4"/>
      <c r="B549" s="4"/>
      <c r="C549" s="4"/>
      <c r="D549" s="3"/>
      <c r="E549" s="4"/>
      <c r="F549" s="4"/>
      <c r="G549" s="4"/>
      <c r="H549" s="4"/>
      <c r="I549" s="3"/>
      <c r="J549" s="3"/>
      <c r="K549" s="3"/>
      <c r="L549" s="4"/>
      <c r="M549" s="4"/>
      <c r="N549" s="4"/>
      <c r="O549" s="3"/>
      <c r="P549" s="4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6.5" customHeight="1" x14ac:dyDescent="0.3">
      <c r="A550" s="4"/>
      <c r="B550" s="4"/>
      <c r="C550" s="4"/>
      <c r="D550" s="3"/>
      <c r="E550" s="4"/>
      <c r="F550" s="4"/>
      <c r="G550" s="4"/>
      <c r="H550" s="4"/>
      <c r="I550" s="3"/>
      <c r="J550" s="3"/>
      <c r="K550" s="3"/>
      <c r="L550" s="4"/>
      <c r="M550" s="4"/>
      <c r="N550" s="4"/>
      <c r="O550" s="3"/>
      <c r="P550" s="4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6.5" customHeight="1" x14ac:dyDescent="0.3">
      <c r="A551" s="4"/>
      <c r="B551" s="4"/>
      <c r="C551" s="4"/>
      <c r="D551" s="3"/>
      <c r="E551" s="4"/>
      <c r="F551" s="4"/>
      <c r="G551" s="4"/>
      <c r="H551" s="4"/>
      <c r="I551" s="3"/>
      <c r="J551" s="3"/>
      <c r="K551" s="3"/>
      <c r="L551" s="4"/>
      <c r="M551" s="4"/>
      <c r="N551" s="4"/>
      <c r="O551" s="3"/>
      <c r="P551" s="4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6.5" customHeight="1" x14ac:dyDescent="0.3">
      <c r="A552" s="4"/>
      <c r="B552" s="4"/>
      <c r="C552" s="4"/>
      <c r="D552" s="3"/>
      <c r="E552" s="4"/>
      <c r="F552" s="4"/>
      <c r="G552" s="4"/>
      <c r="H552" s="4"/>
      <c r="I552" s="3"/>
      <c r="J552" s="3"/>
      <c r="K552" s="3"/>
      <c r="L552" s="4"/>
      <c r="M552" s="4"/>
      <c r="N552" s="4"/>
      <c r="O552" s="3"/>
      <c r="P552" s="4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6.5" customHeight="1" x14ac:dyDescent="0.3">
      <c r="A553" s="4"/>
      <c r="B553" s="4"/>
      <c r="C553" s="4"/>
      <c r="D553" s="3"/>
      <c r="E553" s="4"/>
      <c r="F553" s="4"/>
      <c r="G553" s="4"/>
      <c r="H553" s="4"/>
      <c r="I553" s="3"/>
      <c r="J553" s="3"/>
      <c r="K553" s="3"/>
      <c r="L553" s="4"/>
      <c r="M553" s="4"/>
      <c r="N553" s="4"/>
      <c r="O553" s="3"/>
      <c r="P553" s="4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6.5" customHeight="1" x14ac:dyDescent="0.3">
      <c r="A554" s="4"/>
      <c r="B554" s="4"/>
      <c r="C554" s="4"/>
      <c r="D554" s="3"/>
      <c r="E554" s="4"/>
      <c r="F554" s="4"/>
      <c r="G554" s="4"/>
      <c r="H554" s="4"/>
      <c r="I554" s="3"/>
      <c r="J554" s="3"/>
      <c r="K554" s="3"/>
      <c r="L554" s="4"/>
      <c r="M554" s="4"/>
      <c r="N554" s="4"/>
      <c r="O554" s="3"/>
      <c r="P554" s="4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6.5" customHeight="1" x14ac:dyDescent="0.3">
      <c r="A555" s="4"/>
      <c r="B555" s="4"/>
      <c r="C555" s="4"/>
      <c r="D555" s="3"/>
      <c r="E555" s="4"/>
      <c r="F555" s="4"/>
      <c r="G555" s="4"/>
      <c r="H555" s="4"/>
      <c r="I555" s="3"/>
      <c r="J555" s="3"/>
      <c r="K555" s="3"/>
      <c r="L555" s="4"/>
      <c r="M555" s="4"/>
      <c r="N555" s="4"/>
      <c r="O555" s="3"/>
      <c r="P555" s="4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6.5" customHeight="1" x14ac:dyDescent="0.3">
      <c r="A556" s="4"/>
      <c r="B556" s="4"/>
      <c r="C556" s="4"/>
      <c r="D556" s="3"/>
      <c r="E556" s="4"/>
      <c r="F556" s="4"/>
      <c r="G556" s="4"/>
      <c r="H556" s="4"/>
      <c r="I556" s="3"/>
      <c r="J556" s="3"/>
      <c r="K556" s="3"/>
      <c r="L556" s="4"/>
      <c r="M556" s="4"/>
      <c r="N556" s="4"/>
      <c r="O556" s="3"/>
      <c r="P556" s="4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6.5" customHeight="1" x14ac:dyDescent="0.3">
      <c r="A557" s="4"/>
      <c r="B557" s="4"/>
      <c r="C557" s="4"/>
      <c r="D557" s="3"/>
      <c r="E557" s="4"/>
      <c r="F557" s="4"/>
      <c r="G557" s="4"/>
      <c r="H557" s="4"/>
      <c r="I557" s="3"/>
      <c r="J557" s="3"/>
      <c r="K557" s="3"/>
      <c r="L557" s="4"/>
      <c r="M557" s="4"/>
      <c r="N557" s="4"/>
      <c r="O557" s="3"/>
      <c r="P557" s="4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6.5" customHeight="1" x14ac:dyDescent="0.3">
      <c r="A558" s="4"/>
      <c r="B558" s="4"/>
      <c r="C558" s="4"/>
      <c r="D558" s="3"/>
      <c r="E558" s="4"/>
      <c r="F558" s="4"/>
      <c r="G558" s="4"/>
      <c r="H558" s="4"/>
      <c r="I558" s="3"/>
      <c r="J558" s="3"/>
      <c r="K558" s="3"/>
      <c r="L558" s="4"/>
      <c r="M558" s="4"/>
      <c r="N558" s="4"/>
      <c r="O558" s="3"/>
      <c r="P558" s="4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6.5" customHeight="1" x14ac:dyDescent="0.3">
      <c r="A559" s="4"/>
      <c r="B559" s="4"/>
      <c r="C559" s="4"/>
      <c r="D559" s="3"/>
      <c r="E559" s="4"/>
      <c r="F559" s="4"/>
      <c r="G559" s="4"/>
      <c r="H559" s="4"/>
      <c r="I559" s="3"/>
      <c r="J559" s="3"/>
      <c r="K559" s="3"/>
      <c r="L559" s="4"/>
      <c r="M559" s="4"/>
      <c r="N559" s="4"/>
      <c r="O559" s="3"/>
      <c r="P559" s="4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6.5" customHeight="1" x14ac:dyDescent="0.3">
      <c r="A560" s="4"/>
      <c r="B560" s="4"/>
      <c r="C560" s="4"/>
      <c r="D560" s="3"/>
      <c r="E560" s="4"/>
      <c r="F560" s="4"/>
      <c r="G560" s="4"/>
      <c r="H560" s="4"/>
      <c r="I560" s="3"/>
      <c r="J560" s="3"/>
      <c r="K560" s="3"/>
      <c r="L560" s="4"/>
      <c r="M560" s="4"/>
      <c r="N560" s="4"/>
      <c r="O560" s="3"/>
      <c r="P560" s="4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6.5" customHeight="1" x14ac:dyDescent="0.3">
      <c r="A561" s="4"/>
      <c r="B561" s="4"/>
      <c r="C561" s="4"/>
      <c r="D561" s="3"/>
      <c r="E561" s="4"/>
      <c r="F561" s="4"/>
      <c r="G561" s="4"/>
      <c r="H561" s="4"/>
      <c r="I561" s="3"/>
      <c r="J561" s="3"/>
      <c r="K561" s="3"/>
      <c r="L561" s="4"/>
      <c r="M561" s="4"/>
      <c r="N561" s="4"/>
      <c r="O561" s="3"/>
      <c r="P561" s="4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6.5" customHeight="1" x14ac:dyDescent="0.3">
      <c r="A562" s="4"/>
      <c r="B562" s="4"/>
      <c r="C562" s="4"/>
      <c r="D562" s="3"/>
      <c r="E562" s="4"/>
      <c r="F562" s="4"/>
      <c r="G562" s="4"/>
      <c r="H562" s="4"/>
      <c r="I562" s="3"/>
      <c r="J562" s="3"/>
      <c r="K562" s="3"/>
      <c r="L562" s="4"/>
      <c r="M562" s="4"/>
      <c r="N562" s="4"/>
      <c r="O562" s="3"/>
      <c r="P562" s="4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6.5" customHeight="1" x14ac:dyDescent="0.3">
      <c r="A563" s="4"/>
      <c r="B563" s="4"/>
      <c r="C563" s="4"/>
      <c r="D563" s="3"/>
      <c r="E563" s="4"/>
      <c r="F563" s="4"/>
      <c r="G563" s="4"/>
      <c r="H563" s="4"/>
      <c r="I563" s="3"/>
      <c r="J563" s="3"/>
      <c r="K563" s="3"/>
      <c r="L563" s="4"/>
      <c r="M563" s="4"/>
      <c r="N563" s="4"/>
      <c r="O563" s="3"/>
      <c r="P563" s="4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6.5" customHeight="1" x14ac:dyDescent="0.3">
      <c r="A564" s="4"/>
      <c r="B564" s="4"/>
      <c r="C564" s="4"/>
      <c r="D564" s="3"/>
      <c r="E564" s="4"/>
      <c r="F564" s="4"/>
      <c r="G564" s="4"/>
      <c r="H564" s="4"/>
      <c r="I564" s="3"/>
      <c r="J564" s="3"/>
      <c r="K564" s="3"/>
      <c r="L564" s="4"/>
      <c r="M564" s="4"/>
      <c r="N564" s="4"/>
      <c r="O564" s="3"/>
      <c r="P564" s="4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6.5" customHeight="1" x14ac:dyDescent="0.3">
      <c r="A565" s="4"/>
      <c r="B565" s="4"/>
      <c r="C565" s="4"/>
      <c r="D565" s="3"/>
      <c r="E565" s="4"/>
      <c r="F565" s="4"/>
      <c r="G565" s="4"/>
      <c r="H565" s="4"/>
      <c r="I565" s="3"/>
      <c r="J565" s="3"/>
      <c r="K565" s="3"/>
      <c r="L565" s="4"/>
      <c r="M565" s="4"/>
      <c r="N565" s="4"/>
      <c r="O565" s="3"/>
      <c r="P565" s="4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6.5" customHeight="1" x14ac:dyDescent="0.3">
      <c r="A566" s="4"/>
      <c r="B566" s="4"/>
      <c r="C566" s="4"/>
      <c r="D566" s="3"/>
      <c r="E566" s="4"/>
      <c r="F566" s="4"/>
      <c r="G566" s="4"/>
      <c r="H566" s="4"/>
      <c r="I566" s="3"/>
      <c r="J566" s="3"/>
      <c r="K566" s="3"/>
      <c r="L566" s="4"/>
      <c r="M566" s="4"/>
      <c r="N566" s="4"/>
      <c r="O566" s="3"/>
      <c r="P566" s="4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6.5" customHeight="1" x14ac:dyDescent="0.3">
      <c r="A567" s="4"/>
      <c r="B567" s="4"/>
      <c r="C567" s="4"/>
      <c r="D567" s="3"/>
      <c r="E567" s="4"/>
      <c r="F567" s="4"/>
      <c r="G567" s="4"/>
      <c r="H567" s="4"/>
      <c r="I567" s="3"/>
      <c r="J567" s="3"/>
      <c r="K567" s="3"/>
      <c r="L567" s="4"/>
      <c r="M567" s="4"/>
      <c r="N567" s="4"/>
      <c r="O567" s="3"/>
      <c r="P567" s="4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6.5" customHeight="1" x14ac:dyDescent="0.3">
      <c r="A568" s="4"/>
      <c r="B568" s="4"/>
      <c r="C568" s="4"/>
      <c r="D568" s="3"/>
      <c r="E568" s="4"/>
      <c r="F568" s="4"/>
      <c r="G568" s="4"/>
      <c r="H568" s="4"/>
      <c r="I568" s="3"/>
      <c r="J568" s="3"/>
      <c r="K568" s="3"/>
      <c r="L568" s="4"/>
      <c r="M568" s="4"/>
      <c r="N568" s="4"/>
      <c r="O568" s="3"/>
      <c r="P568" s="4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6.5" customHeight="1" x14ac:dyDescent="0.3">
      <c r="A569" s="4"/>
      <c r="B569" s="4"/>
      <c r="C569" s="4"/>
      <c r="D569" s="3"/>
      <c r="E569" s="4"/>
      <c r="F569" s="4"/>
      <c r="G569" s="4"/>
      <c r="H569" s="4"/>
      <c r="I569" s="3"/>
      <c r="J569" s="3"/>
      <c r="K569" s="3"/>
      <c r="L569" s="4"/>
      <c r="M569" s="4"/>
      <c r="N569" s="4"/>
      <c r="O569" s="3"/>
      <c r="P569" s="4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6.5" customHeight="1" x14ac:dyDescent="0.3">
      <c r="A570" s="4"/>
      <c r="B570" s="4"/>
      <c r="C570" s="4"/>
      <c r="D570" s="3"/>
      <c r="E570" s="4"/>
      <c r="F570" s="4"/>
      <c r="G570" s="4"/>
      <c r="H570" s="4"/>
      <c r="I570" s="3"/>
      <c r="J570" s="3"/>
      <c r="K570" s="3"/>
      <c r="L570" s="4"/>
      <c r="M570" s="4"/>
      <c r="N570" s="4"/>
      <c r="O570" s="3"/>
      <c r="P570" s="4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6.5" customHeight="1" x14ac:dyDescent="0.3">
      <c r="A571" s="4"/>
      <c r="B571" s="4"/>
      <c r="C571" s="4"/>
      <c r="D571" s="3"/>
      <c r="E571" s="4"/>
      <c r="F571" s="4"/>
      <c r="G571" s="4"/>
      <c r="H571" s="4"/>
      <c r="I571" s="3"/>
      <c r="J571" s="3"/>
      <c r="K571" s="3"/>
      <c r="L571" s="4"/>
      <c r="M571" s="4"/>
      <c r="N571" s="4"/>
      <c r="O571" s="3"/>
      <c r="P571" s="4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6.5" customHeight="1" x14ac:dyDescent="0.3">
      <c r="A572" s="4"/>
      <c r="B572" s="4"/>
      <c r="C572" s="4"/>
      <c r="D572" s="3"/>
      <c r="E572" s="4"/>
      <c r="F572" s="4"/>
      <c r="G572" s="4"/>
      <c r="H572" s="4"/>
      <c r="I572" s="3"/>
      <c r="J572" s="3"/>
      <c r="K572" s="3"/>
      <c r="L572" s="4"/>
      <c r="M572" s="4"/>
      <c r="N572" s="4"/>
      <c r="O572" s="3"/>
      <c r="P572" s="4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6.5" customHeight="1" x14ac:dyDescent="0.3">
      <c r="A573" s="4"/>
      <c r="B573" s="4"/>
      <c r="C573" s="4"/>
      <c r="D573" s="3"/>
      <c r="E573" s="4"/>
      <c r="F573" s="4"/>
      <c r="G573" s="4"/>
      <c r="H573" s="4"/>
      <c r="I573" s="3"/>
      <c r="J573" s="3"/>
      <c r="K573" s="3"/>
      <c r="L573" s="4"/>
      <c r="M573" s="4"/>
      <c r="N573" s="4"/>
      <c r="O573" s="3"/>
      <c r="P573" s="4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6.5" customHeight="1" x14ac:dyDescent="0.3">
      <c r="A574" s="4"/>
      <c r="B574" s="4"/>
      <c r="C574" s="4"/>
      <c r="D574" s="3"/>
      <c r="E574" s="4"/>
      <c r="F574" s="4"/>
      <c r="G574" s="4"/>
      <c r="H574" s="4"/>
      <c r="I574" s="3"/>
      <c r="J574" s="3"/>
      <c r="K574" s="3"/>
      <c r="L574" s="4"/>
      <c r="M574" s="4"/>
      <c r="N574" s="4"/>
      <c r="O574" s="3"/>
      <c r="P574" s="4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6.5" customHeight="1" x14ac:dyDescent="0.3">
      <c r="A575" s="4"/>
      <c r="B575" s="4"/>
      <c r="C575" s="4"/>
      <c r="D575" s="3"/>
      <c r="E575" s="4"/>
      <c r="F575" s="4"/>
      <c r="G575" s="4"/>
      <c r="H575" s="4"/>
      <c r="I575" s="3"/>
      <c r="J575" s="3"/>
      <c r="K575" s="3"/>
      <c r="L575" s="4"/>
      <c r="M575" s="4"/>
      <c r="N575" s="4"/>
      <c r="O575" s="3"/>
      <c r="P575" s="4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6.5" customHeight="1" x14ac:dyDescent="0.3">
      <c r="A576" s="4"/>
      <c r="B576" s="4"/>
      <c r="C576" s="4"/>
      <c r="D576" s="3"/>
      <c r="E576" s="4"/>
      <c r="F576" s="4"/>
      <c r="G576" s="4"/>
      <c r="H576" s="4"/>
      <c r="I576" s="3"/>
      <c r="J576" s="3"/>
      <c r="K576" s="3"/>
      <c r="L576" s="4"/>
      <c r="M576" s="4"/>
      <c r="N576" s="4"/>
      <c r="O576" s="3"/>
      <c r="P576" s="4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6.5" customHeight="1" x14ac:dyDescent="0.3">
      <c r="A577" s="4"/>
      <c r="B577" s="4"/>
      <c r="C577" s="4"/>
      <c r="D577" s="3"/>
      <c r="E577" s="4"/>
      <c r="F577" s="4"/>
      <c r="G577" s="4"/>
      <c r="H577" s="4"/>
      <c r="I577" s="3"/>
      <c r="J577" s="3"/>
      <c r="K577" s="3"/>
      <c r="L577" s="4"/>
      <c r="M577" s="4"/>
      <c r="N577" s="4"/>
      <c r="O577" s="3"/>
      <c r="P577" s="4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6.5" customHeight="1" x14ac:dyDescent="0.3">
      <c r="A578" s="4"/>
      <c r="B578" s="4"/>
      <c r="C578" s="4"/>
      <c r="D578" s="3"/>
      <c r="E578" s="4"/>
      <c r="F578" s="4"/>
      <c r="G578" s="4"/>
      <c r="H578" s="4"/>
      <c r="I578" s="3"/>
      <c r="J578" s="3"/>
      <c r="K578" s="3"/>
      <c r="L578" s="4"/>
      <c r="M578" s="4"/>
      <c r="N578" s="4"/>
      <c r="O578" s="3"/>
      <c r="P578" s="4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6.5" customHeight="1" x14ac:dyDescent="0.3">
      <c r="A579" s="4"/>
      <c r="B579" s="4"/>
      <c r="C579" s="4"/>
      <c r="D579" s="3"/>
      <c r="E579" s="4"/>
      <c r="F579" s="4"/>
      <c r="G579" s="4"/>
      <c r="H579" s="4"/>
      <c r="I579" s="3"/>
      <c r="J579" s="3"/>
      <c r="K579" s="3"/>
      <c r="L579" s="4"/>
      <c r="M579" s="4"/>
      <c r="N579" s="4"/>
      <c r="O579" s="3"/>
      <c r="P579" s="4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6.5" customHeight="1" x14ac:dyDescent="0.3">
      <c r="A580" s="4"/>
      <c r="B580" s="4"/>
      <c r="C580" s="4"/>
      <c r="D580" s="3"/>
      <c r="E580" s="4"/>
      <c r="F580" s="4"/>
      <c r="G580" s="4"/>
      <c r="H580" s="4"/>
      <c r="I580" s="3"/>
      <c r="J580" s="3"/>
      <c r="K580" s="3"/>
      <c r="L580" s="4"/>
      <c r="M580" s="4"/>
      <c r="N580" s="4"/>
      <c r="O580" s="3"/>
      <c r="P580" s="4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6.5" customHeight="1" x14ac:dyDescent="0.3">
      <c r="A581" s="4"/>
      <c r="B581" s="4"/>
      <c r="C581" s="4"/>
      <c r="D581" s="3"/>
      <c r="E581" s="4"/>
      <c r="F581" s="4"/>
      <c r="G581" s="4"/>
      <c r="H581" s="4"/>
      <c r="I581" s="3"/>
      <c r="J581" s="3"/>
      <c r="K581" s="3"/>
      <c r="L581" s="4"/>
      <c r="M581" s="4"/>
      <c r="N581" s="4"/>
      <c r="O581" s="3"/>
      <c r="P581" s="4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6.5" customHeight="1" x14ac:dyDescent="0.3">
      <c r="A582" s="4"/>
      <c r="B582" s="4"/>
      <c r="C582" s="4"/>
      <c r="D582" s="3"/>
      <c r="E582" s="4"/>
      <c r="F582" s="4"/>
      <c r="G582" s="4"/>
      <c r="H582" s="4"/>
      <c r="I582" s="3"/>
      <c r="J582" s="3"/>
      <c r="K582" s="3"/>
      <c r="L582" s="4"/>
      <c r="M582" s="4"/>
      <c r="N582" s="4"/>
      <c r="O582" s="3"/>
      <c r="P582" s="4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6.5" customHeight="1" x14ac:dyDescent="0.3">
      <c r="A583" s="4"/>
      <c r="B583" s="4"/>
      <c r="C583" s="4"/>
      <c r="D583" s="3"/>
      <c r="E583" s="4"/>
      <c r="F583" s="4"/>
      <c r="G583" s="4"/>
      <c r="H583" s="4"/>
      <c r="I583" s="3"/>
      <c r="J583" s="3"/>
      <c r="K583" s="3"/>
      <c r="L583" s="4"/>
      <c r="M583" s="4"/>
      <c r="N583" s="4"/>
      <c r="O583" s="3"/>
      <c r="P583" s="4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6.5" customHeight="1" x14ac:dyDescent="0.3">
      <c r="A584" s="4"/>
      <c r="B584" s="4"/>
      <c r="C584" s="4"/>
      <c r="D584" s="3"/>
      <c r="E584" s="4"/>
      <c r="F584" s="4"/>
      <c r="G584" s="4"/>
      <c r="H584" s="4"/>
      <c r="I584" s="3"/>
      <c r="J584" s="3"/>
      <c r="K584" s="3"/>
      <c r="L584" s="4"/>
      <c r="M584" s="4"/>
      <c r="N584" s="4"/>
      <c r="O584" s="3"/>
      <c r="P584" s="4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6.5" customHeight="1" x14ac:dyDescent="0.3">
      <c r="A585" s="4"/>
      <c r="B585" s="4"/>
      <c r="C585" s="4"/>
      <c r="D585" s="3"/>
      <c r="E585" s="4"/>
      <c r="F585" s="4"/>
      <c r="G585" s="4"/>
      <c r="H585" s="4"/>
      <c r="I585" s="3"/>
      <c r="J585" s="3"/>
      <c r="K585" s="3"/>
      <c r="L585" s="4"/>
      <c r="M585" s="4"/>
      <c r="N585" s="4"/>
      <c r="O585" s="3"/>
      <c r="P585" s="4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6.5" customHeight="1" x14ac:dyDescent="0.3">
      <c r="A586" s="4"/>
      <c r="B586" s="4"/>
      <c r="C586" s="4"/>
      <c r="D586" s="3"/>
      <c r="E586" s="4"/>
      <c r="F586" s="4"/>
      <c r="G586" s="4"/>
      <c r="H586" s="4"/>
      <c r="I586" s="3"/>
      <c r="J586" s="3"/>
      <c r="K586" s="3"/>
      <c r="L586" s="4"/>
      <c r="M586" s="4"/>
      <c r="N586" s="4"/>
      <c r="O586" s="3"/>
      <c r="P586" s="4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6.5" customHeight="1" x14ac:dyDescent="0.3">
      <c r="A587" s="4"/>
      <c r="B587" s="4"/>
      <c r="C587" s="4"/>
      <c r="D587" s="3"/>
      <c r="E587" s="4"/>
      <c r="F587" s="4"/>
      <c r="G587" s="4"/>
      <c r="H587" s="4"/>
      <c r="I587" s="3"/>
      <c r="J587" s="3"/>
      <c r="K587" s="3"/>
      <c r="L587" s="4"/>
      <c r="M587" s="4"/>
      <c r="N587" s="4"/>
      <c r="O587" s="3"/>
      <c r="P587" s="4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6.5" customHeight="1" x14ac:dyDescent="0.3">
      <c r="A588" s="4"/>
      <c r="B588" s="4"/>
      <c r="C588" s="4"/>
      <c r="D588" s="3"/>
      <c r="E588" s="4"/>
      <c r="F588" s="4"/>
      <c r="G588" s="4"/>
      <c r="H588" s="4"/>
      <c r="I588" s="3"/>
      <c r="J588" s="3"/>
      <c r="K588" s="3"/>
      <c r="L588" s="4"/>
      <c r="M588" s="4"/>
      <c r="N588" s="4"/>
      <c r="O588" s="3"/>
      <c r="P588" s="4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6.5" customHeight="1" x14ac:dyDescent="0.3">
      <c r="A589" s="4"/>
      <c r="B589" s="4"/>
      <c r="C589" s="4"/>
      <c r="D589" s="3"/>
      <c r="E589" s="4"/>
      <c r="F589" s="4"/>
      <c r="G589" s="4"/>
      <c r="H589" s="4"/>
      <c r="I589" s="3"/>
      <c r="J589" s="3"/>
      <c r="K589" s="3"/>
      <c r="L589" s="4"/>
      <c r="M589" s="4"/>
      <c r="N589" s="4"/>
      <c r="O589" s="3"/>
      <c r="P589" s="4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6.5" customHeight="1" x14ac:dyDescent="0.3">
      <c r="A590" s="4"/>
      <c r="B590" s="4"/>
      <c r="C590" s="4"/>
      <c r="D590" s="3"/>
      <c r="E590" s="4"/>
      <c r="F590" s="4"/>
      <c r="G590" s="4"/>
      <c r="H590" s="4"/>
      <c r="I590" s="3"/>
      <c r="J590" s="3"/>
      <c r="K590" s="3"/>
      <c r="L590" s="4"/>
      <c r="M590" s="4"/>
      <c r="N590" s="4"/>
      <c r="O590" s="3"/>
      <c r="P590" s="4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6.5" customHeight="1" x14ac:dyDescent="0.3">
      <c r="A591" s="4"/>
      <c r="B591" s="4"/>
      <c r="C591" s="4"/>
      <c r="D591" s="3"/>
      <c r="E591" s="4"/>
      <c r="F591" s="4"/>
      <c r="G591" s="4"/>
      <c r="H591" s="4"/>
      <c r="I591" s="3"/>
      <c r="J591" s="3"/>
      <c r="K591" s="3"/>
      <c r="L591" s="4"/>
      <c r="M591" s="4"/>
      <c r="N591" s="4"/>
      <c r="O591" s="3"/>
      <c r="P591" s="4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6.5" customHeight="1" x14ac:dyDescent="0.3">
      <c r="A592" s="4"/>
      <c r="B592" s="4"/>
      <c r="C592" s="4"/>
      <c r="D592" s="3"/>
      <c r="E592" s="4"/>
      <c r="F592" s="4"/>
      <c r="G592" s="4"/>
      <c r="H592" s="4"/>
      <c r="I592" s="3"/>
      <c r="J592" s="3"/>
      <c r="K592" s="3"/>
      <c r="L592" s="4"/>
      <c r="M592" s="4"/>
      <c r="N592" s="4"/>
      <c r="O592" s="3"/>
      <c r="P592" s="4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6.5" customHeight="1" x14ac:dyDescent="0.3">
      <c r="A593" s="4"/>
      <c r="B593" s="4"/>
      <c r="C593" s="4"/>
      <c r="D593" s="3"/>
      <c r="E593" s="4"/>
      <c r="F593" s="4"/>
      <c r="G593" s="4"/>
      <c r="H593" s="4"/>
      <c r="I593" s="3"/>
      <c r="J593" s="3"/>
      <c r="K593" s="3"/>
      <c r="L593" s="4"/>
      <c r="M593" s="4"/>
      <c r="N593" s="4"/>
      <c r="O593" s="3"/>
      <c r="P593" s="4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6.5" customHeight="1" x14ac:dyDescent="0.3">
      <c r="A594" s="4"/>
      <c r="B594" s="4"/>
      <c r="C594" s="4"/>
      <c r="D594" s="3"/>
      <c r="E594" s="4"/>
      <c r="F594" s="4"/>
      <c r="G594" s="4"/>
      <c r="H594" s="4"/>
      <c r="I594" s="3"/>
      <c r="J594" s="3"/>
      <c r="K594" s="3"/>
      <c r="L594" s="4"/>
      <c r="M594" s="4"/>
      <c r="N594" s="4"/>
      <c r="O594" s="3"/>
      <c r="P594" s="4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6.5" customHeight="1" x14ac:dyDescent="0.3">
      <c r="A595" s="4"/>
      <c r="B595" s="4"/>
      <c r="C595" s="4"/>
      <c r="D595" s="3"/>
      <c r="E595" s="4"/>
      <c r="F595" s="4"/>
      <c r="G595" s="4"/>
      <c r="H595" s="4"/>
      <c r="I595" s="3"/>
      <c r="J595" s="3"/>
      <c r="K595" s="3"/>
      <c r="L595" s="4"/>
      <c r="M595" s="4"/>
      <c r="N595" s="4"/>
      <c r="O595" s="3"/>
      <c r="P595" s="4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6.5" customHeight="1" x14ac:dyDescent="0.3">
      <c r="A596" s="4"/>
      <c r="B596" s="4"/>
      <c r="C596" s="4"/>
      <c r="D596" s="3"/>
      <c r="E596" s="4"/>
      <c r="F596" s="4"/>
      <c r="G596" s="4"/>
      <c r="H596" s="4"/>
      <c r="I596" s="3"/>
      <c r="J596" s="3"/>
      <c r="K596" s="3"/>
      <c r="L596" s="4"/>
      <c r="M596" s="4"/>
      <c r="N596" s="4"/>
      <c r="O596" s="3"/>
      <c r="P596" s="4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6.5" customHeight="1" x14ac:dyDescent="0.3">
      <c r="A597" s="4"/>
      <c r="B597" s="4"/>
      <c r="C597" s="4"/>
      <c r="D597" s="3"/>
      <c r="E597" s="4"/>
      <c r="F597" s="4"/>
      <c r="G597" s="4"/>
      <c r="H597" s="4"/>
      <c r="I597" s="3"/>
      <c r="J597" s="3"/>
      <c r="K597" s="3"/>
      <c r="L597" s="4"/>
      <c r="M597" s="4"/>
      <c r="N597" s="4"/>
      <c r="O597" s="3"/>
      <c r="P597" s="4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6.5" customHeight="1" x14ac:dyDescent="0.3">
      <c r="A598" s="4"/>
      <c r="B598" s="4"/>
      <c r="C598" s="4"/>
      <c r="D598" s="3"/>
      <c r="E598" s="4"/>
      <c r="F598" s="4"/>
      <c r="G598" s="4"/>
      <c r="H598" s="4"/>
      <c r="I598" s="3"/>
      <c r="J598" s="3"/>
      <c r="K598" s="3"/>
      <c r="L598" s="4"/>
      <c r="M598" s="4"/>
      <c r="N598" s="4"/>
      <c r="O598" s="3"/>
      <c r="P598" s="4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6.5" customHeight="1" x14ac:dyDescent="0.3">
      <c r="A599" s="4"/>
      <c r="B599" s="4"/>
      <c r="C599" s="4"/>
      <c r="D599" s="3"/>
      <c r="E599" s="4"/>
      <c r="F599" s="4"/>
      <c r="G599" s="4"/>
      <c r="H599" s="4"/>
      <c r="I599" s="3"/>
      <c r="J599" s="3"/>
      <c r="K599" s="3"/>
      <c r="L599" s="4"/>
      <c r="M599" s="4"/>
      <c r="N599" s="4"/>
      <c r="O599" s="3"/>
      <c r="P599" s="4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6.5" customHeight="1" x14ac:dyDescent="0.3">
      <c r="A600" s="4"/>
      <c r="B600" s="4"/>
      <c r="C600" s="4"/>
      <c r="D600" s="3"/>
      <c r="E600" s="4"/>
      <c r="F600" s="4"/>
      <c r="G600" s="4"/>
      <c r="H600" s="4"/>
      <c r="I600" s="3"/>
      <c r="J600" s="3"/>
      <c r="K600" s="3"/>
      <c r="L600" s="4"/>
      <c r="M600" s="4"/>
      <c r="N600" s="4"/>
      <c r="O600" s="3"/>
      <c r="P600" s="4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6.5" customHeight="1" x14ac:dyDescent="0.3">
      <c r="A601" s="4"/>
      <c r="B601" s="4"/>
      <c r="C601" s="4"/>
      <c r="D601" s="3"/>
      <c r="E601" s="4"/>
      <c r="F601" s="4"/>
      <c r="G601" s="4"/>
      <c r="H601" s="4"/>
      <c r="I601" s="3"/>
      <c r="J601" s="3"/>
      <c r="K601" s="3"/>
      <c r="L601" s="4"/>
      <c r="M601" s="4"/>
      <c r="N601" s="4"/>
      <c r="O601" s="3"/>
      <c r="P601" s="4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6.5" customHeight="1" x14ac:dyDescent="0.3">
      <c r="A602" s="4"/>
      <c r="B602" s="4"/>
      <c r="C602" s="4"/>
      <c r="D602" s="3"/>
      <c r="E602" s="4"/>
      <c r="F602" s="4"/>
      <c r="G602" s="4"/>
      <c r="H602" s="4"/>
      <c r="I602" s="3"/>
      <c r="J602" s="3"/>
      <c r="K602" s="3"/>
      <c r="L602" s="4"/>
      <c r="M602" s="4"/>
      <c r="N602" s="4"/>
      <c r="O602" s="3"/>
      <c r="P602" s="4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6.5" customHeight="1" x14ac:dyDescent="0.3">
      <c r="A603" s="4"/>
      <c r="B603" s="4"/>
      <c r="C603" s="4"/>
      <c r="D603" s="3"/>
      <c r="E603" s="4"/>
      <c r="F603" s="4"/>
      <c r="G603" s="4"/>
      <c r="H603" s="4"/>
      <c r="I603" s="3"/>
      <c r="J603" s="3"/>
      <c r="K603" s="3"/>
      <c r="L603" s="4"/>
      <c r="M603" s="4"/>
      <c r="N603" s="4"/>
      <c r="O603" s="3"/>
      <c r="P603" s="4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6.5" customHeight="1" x14ac:dyDescent="0.3">
      <c r="A604" s="4"/>
      <c r="B604" s="4"/>
      <c r="C604" s="4"/>
      <c r="D604" s="3"/>
      <c r="E604" s="4"/>
      <c r="F604" s="4"/>
      <c r="G604" s="4"/>
      <c r="H604" s="4"/>
      <c r="I604" s="3"/>
      <c r="J604" s="3"/>
      <c r="K604" s="3"/>
      <c r="L604" s="4"/>
      <c r="M604" s="4"/>
      <c r="N604" s="4"/>
      <c r="O604" s="3"/>
      <c r="P604" s="4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6.5" customHeight="1" x14ac:dyDescent="0.3">
      <c r="A605" s="4"/>
      <c r="B605" s="4"/>
      <c r="C605" s="4"/>
      <c r="D605" s="3"/>
      <c r="E605" s="4"/>
      <c r="F605" s="4"/>
      <c r="G605" s="4"/>
      <c r="H605" s="4"/>
      <c r="I605" s="3"/>
      <c r="J605" s="3"/>
      <c r="K605" s="3"/>
      <c r="L605" s="4"/>
      <c r="M605" s="4"/>
      <c r="N605" s="4"/>
      <c r="O605" s="3"/>
      <c r="P605" s="4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6.5" customHeight="1" x14ac:dyDescent="0.3">
      <c r="A606" s="4"/>
      <c r="B606" s="4"/>
      <c r="C606" s="4"/>
      <c r="D606" s="3"/>
      <c r="E606" s="4"/>
      <c r="F606" s="4"/>
      <c r="G606" s="4"/>
      <c r="H606" s="4"/>
      <c r="I606" s="3"/>
      <c r="J606" s="3"/>
      <c r="K606" s="3"/>
      <c r="L606" s="4"/>
      <c r="M606" s="4"/>
      <c r="N606" s="4"/>
      <c r="O606" s="3"/>
      <c r="P606" s="4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6.5" customHeight="1" x14ac:dyDescent="0.3">
      <c r="A607" s="4"/>
      <c r="B607" s="4"/>
      <c r="C607" s="4"/>
      <c r="D607" s="3"/>
      <c r="E607" s="4"/>
      <c r="F607" s="4"/>
      <c r="G607" s="4"/>
      <c r="H607" s="4"/>
      <c r="I607" s="3"/>
      <c r="J607" s="3"/>
      <c r="K607" s="3"/>
      <c r="L607" s="4"/>
      <c r="M607" s="4"/>
      <c r="N607" s="4"/>
      <c r="O607" s="3"/>
      <c r="P607" s="4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6.5" customHeight="1" x14ac:dyDescent="0.3">
      <c r="A608" s="4"/>
      <c r="B608" s="4"/>
      <c r="C608" s="4"/>
      <c r="D608" s="3"/>
      <c r="E608" s="4"/>
      <c r="F608" s="4"/>
      <c r="G608" s="4"/>
      <c r="H608" s="4"/>
      <c r="I608" s="3"/>
      <c r="J608" s="3"/>
      <c r="K608" s="3"/>
      <c r="L608" s="4"/>
      <c r="M608" s="4"/>
      <c r="N608" s="4"/>
      <c r="O608" s="3"/>
      <c r="P608" s="4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6.5" customHeight="1" x14ac:dyDescent="0.3">
      <c r="A609" s="4"/>
      <c r="B609" s="4"/>
      <c r="C609" s="4"/>
      <c r="D609" s="3"/>
      <c r="E609" s="4"/>
      <c r="F609" s="4"/>
      <c r="G609" s="4"/>
      <c r="H609" s="4"/>
      <c r="I609" s="3"/>
      <c r="J609" s="3"/>
      <c r="K609" s="3"/>
      <c r="L609" s="4"/>
      <c r="M609" s="4"/>
      <c r="N609" s="4"/>
      <c r="O609" s="3"/>
      <c r="P609" s="4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6.5" customHeight="1" x14ac:dyDescent="0.3">
      <c r="A610" s="4"/>
      <c r="B610" s="4"/>
      <c r="C610" s="4"/>
      <c r="D610" s="3"/>
      <c r="E610" s="4"/>
      <c r="F610" s="4"/>
      <c r="G610" s="4"/>
      <c r="H610" s="4"/>
      <c r="I610" s="3"/>
      <c r="J610" s="3"/>
      <c r="K610" s="3"/>
      <c r="L610" s="4"/>
      <c r="M610" s="4"/>
      <c r="N610" s="4"/>
      <c r="O610" s="3"/>
      <c r="P610" s="4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6.5" customHeight="1" x14ac:dyDescent="0.3">
      <c r="A611" s="4"/>
      <c r="B611" s="4"/>
      <c r="C611" s="4"/>
      <c r="D611" s="3"/>
      <c r="E611" s="4"/>
      <c r="F611" s="4"/>
      <c r="G611" s="4"/>
      <c r="H611" s="4"/>
      <c r="I611" s="3"/>
      <c r="J611" s="3"/>
      <c r="K611" s="3"/>
      <c r="L611" s="4"/>
      <c r="M611" s="4"/>
      <c r="N611" s="4"/>
      <c r="O611" s="3"/>
      <c r="P611" s="4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6.5" customHeight="1" x14ac:dyDescent="0.3">
      <c r="A612" s="4"/>
      <c r="B612" s="4"/>
      <c r="C612" s="4"/>
      <c r="D612" s="3"/>
      <c r="E612" s="4"/>
      <c r="F612" s="4"/>
      <c r="G612" s="4"/>
      <c r="H612" s="4"/>
      <c r="I612" s="3"/>
      <c r="J612" s="3"/>
      <c r="K612" s="3"/>
      <c r="L612" s="4"/>
      <c r="M612" s="4"/>
      <c r="N612" s="4"/>
      <c r="O612" s="3"/>
      <c r="P612" s="4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6.5" customHeight="1" x14ac:dyDescent="0.3">
      <c r="A613" s="4"/>
      <c r="B613" s="4"/>
      <c r="C613" s="4"/>
      <c r="D613" s="3"/>
      <c r="E613" s="4"/>
      <c r="F613" s="4"/>
      <c r="G613" s="4"/>
      <c r="H613" s="4"/>
      <c r="I613" s="3"/>
      <c r="J613" s="3"/>
      <c r="K613" s="3"/>
      <c r="L613" s="4"/>
      <c r="M613" s="4"/>
      <c r="N613" s="4"/>
      <c r="O613" s="3"/>
      <c r="P613" s="4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6.5" customHeight="1" x14ac:dyDescent="0.3">
      <c r="A614" s="4"/>
      <c r="B614" s="4"/>
      <c r="C614" s="4"/>
      <c r="D614" s="3"/>
      <c r="E614" s="4"/>
      <c r="F614" s="4"/>
      <c r="G614" s="4"/>
      <c r="H614" s="4"/>
      <c r="I614" s="3"/>
      <c r="J614" s="3"/>
      <c r="K614" s="3"/>
      <c r="L614" s="4"/>
      <c r="M614" s="4"/>
      <c r="N614" s="4"/>
      <c r="O614" s="3"/>
      <c r="P614" s="4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6.5" customHeight="1" x14ac:dyDescent="0.3">
      <c r="A615" s="4"/>
      <c r="B615" s="4"/>
      <c r="C615" s="4"/>
      <c r="D615" s="3"/>
      <c r="E615" s="4"/>
      <c r="F615" s="4"/>
      <c r="G615" s="4"/>
      <c r="H615" s="4"/>
      <c r="I615" s="3"/>
      <c r="J615" s="3"/>
      <c r="K615" s="3"/>
      <c r="L615" s="4"/>
      <c r="M615" s="4"/>
      <c r="N615" s="4"/>
      <c r="O615" s="3"/>
      <c r="P615" s="4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6.5" customHeight="1" x14ac:dyDescent="0.3">
      <c r="A616" s="4"/>
      <c r="B616" s="4"/>
      <c r="C616" s="4"/>
      <c r="D616" s="3"/>
      <c r="E616" s="4"/>
      <c r="F616" s="4"/>
      <c r="G616" s="4"/>
      <c r="H616" s="4"/>
      <c r="I616" s="3"/>
      <c r="J616" s="3"/>
      <c r="K616" s="3"/>
      <c r="L616" s="4"/>
      <c r="M616" s="4"/>
      <c r="N616" s="4"/>
      <c r="O616" s="3"/>
      <c r="P616" s="4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6.5" customHeight="1" x14ac:dyDescent="0.3">
      <c r="A617" s="4"/>
      <c r="B617" s="4"/>
      <c r="C617" s="4"/>
      <c r="D617" s="3"/>
      <c r="E617" s="4"/>
      <c r="F617" s="4"/>
      <c r="G617" s="4"/>
      <c r="H617" s="4"/>
      <c r="I617" s="3"/>
      <c r="J617" s="3"/>
      <c r="K617" s="3"/>
      <c r="L617" s="4"/>
      <c r="M617" s="4"/>
      <c r="N617" s="4"/>
      <c r="O617" s="3"/>
      <c r="P617" s="4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6.5" customHeight="1" x14ac:dyDescent="0.3">
      <c r="A618" s="4"/>
      <c r="B618" s="4"/>
      <c r="C618" s="4"/>
      <c r="D618" s="3"/>
      <c r="E618" s="4"/>
      <c r="F618" s="4"/>
      <c r="G618" s="4"/>
      <c r="H618" s="4"/>
      <c r="I618" s="3"/>
      <c r="J618" s="3"/>
      <c r="K618" s="3"/>
      <c r="L618" s="4"/>
      <c r="M618" s="4"/>
      <c r="N618" s="4"/>
      <c r="O618" s="3"/>
      <c r="P618" s="4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6.5" customHeight="1" x14ac:dyDescent="0.3">
      <c r="A619" s="4"/>
      <c r="B619" s="4"/>
      <c r="C619" s="4"/>
      <c r="D619" s="3"/>
      <c r="E619" s="4"/>
      <c r="F619" s="4"/>
      <c r="G619" s="4"/>
      <c r="H619" s="4"/>
      <c r="I619" s="3"/>
      <c r="J619" s="3"/>
      <c r="K619" s="3"/>
      <c r="L619" s="4"/>
      <c r="M619" s="4"/>
      <c r="N619" s="4"/>
      <c r="O619" s="3"/>
      <c r="P619" s="4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6.5" customHeight="1" x14ac:dyDescent="0.3">
      <c r="A620" s="4"/>
      <c r="B620" s="4"/>
      <c r="C620" s="4"/>
      <c r="D620" s="3"/>
      <c r="E620" s="4"/>
      <c r="F620" s="4"/>
      <c r="G620" s="4"/>
      <c r="H620" s="4"/>
      <c r="I620" s="3"/>
      <c r="J620" s="3"/>
      <c r="K620" s="3"/>
      <c r="L620" s="4"/>
      <c r="M620" s="4"/>
      <c r="N620" s="4"/>
      <c r="O620" s="3"/>
      <c r="P620" s="4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6.5" customHeight="1" x14ac:dyDescent="0.3">
      <c r="A621" s="4"/>
      <c r="B621" s="4"/>
      <c r="C621" s="4"/>
      <c r="D621" s="3"/>
      <c r="E621" s="4"/>
      <c r="F621" s="4"/>
      <c r="G621" s="4"/>
      <c r="H621" s="4"/>
      <c r="I621" s="3"/>
      <c r="J621" s="3"/>
      <c r="K621" s="3"/>
      <c r="L621" s="4"/>
      <c r="M621" s="4"/>
      <c r="N621" s="4"/>
      <c r="O621" s="3"/>
      <c r="P621" s="4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6.5" customHeight="1" x14ac:dyDescent="0.3">
      <c r="A622" s="4"/>
      <c r="B622" s="4"/>
      <c r="C622" s="4"/>
      <c r="D622" s="3"/>
      <c r="E622" s="4"/>
      <c r="F622" s="4"/>
      <c r="G622" s="4"/>
      <c r="H622" s="4"/>
      <c r="I622" s="3"/>
      <c r="J622" s="3"/>
      <c r="K622" s="3"/>
      <c r="L622" s="4"/>
      <c r="M622" s="4"/>
      <c r="N622" s="4"/>
      <c r="O622" s="3"/>
      <c r="P622" s="4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6.5" customHeight="1" x14ac:dyDescent="0.3">
      <c r="A623" s="4"/>
      <c r="B623" s="4"/>
      <c r="C623" s="4"/>
      <c r="D623" s="3"/>
      <c r="E623" s="4"/>
      <c r="F623" s="4"/>
      <c r="G623" s="4"/>
      <c r="H623" s="4"/>
      <c r="I623" s="3"/>
      <c r="J623" s="3"/>
      <c r="K623" s="3"/>
      <c r="L623" s="4"/>
      <c r="M623" s="4"/>
      <c r="N623" s="4"/>
      <c r="O623" s="3"/>
      <c r="P623" s="4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6.5" customHeight="1" x14ac:dyDescent="0.3">
      <c r="A624" s="4"/>
      <c r="B624" s="4"/>
      <c r="C624" s="4"/>
      <c r="D624" s="3"/>
      <c r="E624" s="4"/>
      <c r="F624" s="4"/>
      <c r="G624" s="4"/>
      <c r="H624" s="4"/>
      <c r="I624" s="3"/>
      <c r="J624" s="3"/>
      <c r="K624" s="3"/>
      <c r="L624" s="4"/>
      <c r="M624" s="4"/>
      <c r="N624" s="4"/>
      <c r="O624" s="3"/>
      <c r="P624" s="4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6.5" customHeight="1" x14ac:dyDescent="0.3">
      <c r="A625" s="4"/>
      <c r="B625" s="4"/>
      <c r="C625" s="4"/>
      <c r="D625" s="3"/>
      <c r="E625" s="4"/>
      <c r="F625" s="4"/>
      <c r="G625" s="4"/>
      <c r="H625" s="4"/>
      <c r="I625" s="3"/>
      <c r="J625" s="3"/>
      <c r="K625" s="3"/>
      <c r="L625" s="4"/>
      <c r="M625" s="4"/>
      <c r="N625" s="4"/>
      <c r="O625" s="3"/>
      <c r="P625" s="4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6.5" customHeight="1" x14ac:dyDescent="0.3">
      <c r="A626" s="4"/>
      <c r="B626" s="4"/>
      <c r="C626" s="4"/>
      <c r="D626" s="3"/>
      <c r="E626" s="4"/>
      <c r="F626" s="4"/>
      <c r="G626" s="4"/>
      <c r="H626" s="4"/>
      <c r="I626" s="3"/>
      <c r="J626" s="3"/>
      <c r="K626" s="3"/>
      <c r="L626" s="4"/>
      <c r="M626" s="4"/>
      <c r="N626" s="4"/>
      <c r="O626" s="3"/>
      <c r="P626" s="4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6.5" customHeight="1" x14ac:dyDescent="0.3">
      <c r="A627" s="4"/>
      <c r="B627" s="4"/>
      <c r="C627" s="4"/>
      <c r="D627" s="3"/>
      <c r="E627" s="4"/>
      <c r="F627" s="4"/>
      <c r="G627" s="4"/>
      <c r="H627" s="4"/>
      <c r="I627" s="3"/>
      <c r="J627" s="3"/>
      <c r="K627" s="3"/>
      <c r="L627" s="4"/>
      <c r="M627" s="4"/>
      <c r="N627" s="4"/>
      <c r="O627" s="3"/>
      <c r="P627" s="4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6.5" customHeight="1" x14ac:dyDescent="0.3">
      <c r="A628" s="4"/>
      <c r="B628" s="4"/>
      <c r="C628" s="4"/>
      <c r="D628" s="3"/>
      <c r="E628" s="4"/>
      <c r="F628" s="4"/>
      <c r="G628" s="4"/>
      <c r="H628" s="4"/>
      <c r="I628" s="3"/>
      <c r="J628" s="3"/>
      <c r="K628" s="3"/>
      <c r="L628" s="4"/>
      <c r="M628" s="4"/>
      <c r="N628" s="4"/>
      <c r="O628" s="3"/>
      <c r="P628" s="4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6.5" customHeight="1" x14ac:dyDescent="0.3">
      <c r="A629" s="4"/>
      <c r="B629" s="4"/>
      <c r="C629" s="4"/>
      <c r="D629" s="3"/>
      <c r="E629" s="4"/>
      <c r="F629" s="4"/>
      <c r="G629" s="4"/>
      <c r="H629" s="4"/>
      <c r="I629" s="3"/>
      <c r="J629" s="3"/>
      <c r="K629" s="3"/>
      <c r="L629" s="4"/>
      <c r="M629" s="4"/>
      <c r="N629" s="4"/>
      <c r="O629" s="3"/>
      <c r="P629" s="4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6.5" customHeight="1" x14ac:dyDescent="0.3">
      <c r="A630" s="4"/>
      <c r="B630" s="4"/>
      <c r="C630" s="4"/>
      <c r="D630" s="3"/>
      <c r="E630" s="4"/>
      <c r="F630" s="4"/>
      <c r="G630" s="4"/>
      <c r="H630" s="4"/>
      <c r="I630" s="3"/>
      <c r="J630" s="3"/>
      <c r="K630" s="3"/>
      <c r="L630" s="4"/>
      <c r="M630" s="4"/>
      <c r="N630" s="4"/>
      <c r="O630" s="3"/>
      <c r="P630" s="4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6.5" customHeight="1" x14ac:dyDescent="0.3">
      <c r="A631" s="4"/>
      <c r="B631" s="4"/>
      <c r="C631" s="4"/>
      <c r="D631" s="3"/>
      <c r="E631" s="4"/>
      <c r="F631" s="4"/>
      <c r="G631" s="4"/>
      <c r="H631" s="4"/>
      <c r="I631" s="3"/>
      <c r="J631" s="3"/>
      <c r="K631" s="3"/>
      <c r="L631" s="4"/>
      <c r="M631" s="4"/>
      <c r="N631" s="4"/>
      <c r="O631" s="3"/>
      <c r="P631" s="4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6.5" customHeight="1" x14ac:dyDescent="0.3">
      <c r="A632" s="4"/>
      <c r="B632" s="4"/>
      <c r="C632" s="4"/>
      <c r="D632" s="3"/>
      <c r="E632" s="4"/>
      <c r="F632" s="4"/>
      <c r="G632" s="4"/>
      <c r="H632" s="4"/>
      <c r="I632" s="3"/>
      <c r="J632" s="3"/>
      <c r="K632" s="3"/>
      <c r="L632" s="4"/>
      <c r="M632" s="4"/>
      <c r="N632" s="4"/>
      <c r="O632" s="3"/>
      <c r="P632" s="4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6.5" customHeight="1" x14ac:dyDescent="0.3">
      <c r="A633" s="4"/>
      <c r="B633" s="4"/>
      <c r="C633" s="4"/>
      <c r="D633" s="3"/>
      <c r="E633" s="4"/>
      <c r="F633" s="4"/>
      <c r="G633" s="4"/>
      <c r="H633" s="4"/>
      <c r="I633" s="3"/>
      <c r="J633" s="3"/>
      <c r="K633" s="3"/>
      <c r="L633" s="4"/>
      <c r="M633" s="4"/>
      <c r="N633" s="4"/>
      <c r="O633" s="3"/>
      <c r="P633" s="4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6.5" customHeight="1" x14ac:dyDescent="0.3">
      <c r="A634" s="4"/>
      <c r="B634" s="4"/>
      <c r="C634" s="4"/>
      <c r="D634" s="3"/>
      <c r="E634" s="4"/>
      <c r="F634" s="4"/>
      <c r="G634" s="4"/>
      <c r="H634" s="4"/>
      <c r="I634" s="3"/>
      <c r="J634" s="3"/>
      <c r="K634" s="3"/>
      <c r="L634" s="4"/>
      <c r="M634" s="4"/>
      <c r="N634" s="4"/>
      <c r="O634" s="3"/>
      <c r="P634" s="4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6.5" customHeight="1" x14ac:dyDescent="0.3">
      <c r="A635" s="4"/>
      <c r="B635" s="4"/>
      <c r="C635" s="4"/>
      <c r="D635" s="3"/>
      <c r="E635" s="4"/>
      <c r="F635" s="4"/>
      <c r="G635" s="4"/>
      <c r="H635" s="4"/>
      <c r="I635" s="3"/>
      <c r="J635" s="3"/>
      <c r="K635" s="3"/>
      <c r="L635" s="4"/>
      <c r="M635" s="4"/>
      <c r="N635" s="4"/>
      <c r="O635" s="3"/>
      <c r="P635" s="4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6.5" customHeight="1" x14ac:dyDescent="0.3">
      <c r="A636" s="4"/>
      <c r="B636" s="4"/>
      <c r="C636" s="4"/>
      <c r="D636" s="3"/>
      <c r="E636" s="4"/>
      <c r="F636" s="4"/>
      <c r="G636" s="4"/>
      <c r="H636" s="4"/>
      <c r="I636" s="3"/>
      <c r="J636" s="3"/>
      <c r="K636" s="3"/>
      <c r="L636" s="4"/>
      <c r="M636" s="4"/>
      <c r="N636" s="4"/>
      <c r="O636" s="3"/>
      <c r="P636" s="4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6.5" customHeight="1" x14ac:dyDescent="0.3">
      <c r="A637" s="4"/>
      <c r="B637" s="4"/>
      <c r="C637" s="4"/>
      <c r="D637" s="3"/>
      <c r="E637" s="4"/>
      <c r="F637" s="4"/>
      <c r="G637" s="4"/>
      <c r="H637" s="4"/>
      <c r="I637" s="3"/>
      <c r="J637" s="3"/>
      <c r="K637" s="3"/>
      <c r="L637" s="4"/>
      <c r="M637" s="4"/>
      <c r="N637" s="4"/>
      <c r="O637" s="3"/>
      <c r="P637" s="4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6.5" customHeight="1" x14ac:dyDescent="0.3">
      <c r="A638" s="4"/>
      <c r="B638" s="4"/>
      <c r="C638" s="4"/>
      <c r="D638" s="3"/>
      <c r="E638" s="4"/>
      <c r="F638" s="4"/>
      <c r="G638" s="4"/>
      <c r="H638" s="4"/>
      <c r="I638" s="3"/>
      <c r="J638" s="3"/>
      <c r="K638" s="3"/>
      <c r="L638" s="4"/>
      <c r="M638" s="4"/>
      <c r="N638" s="4"/>
      <c r="O638" s="3"/>
      <c r="P638" s="4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6.5" customHeight="1" x14ac:dyDescent="0.3">
      <c r="A639" s="4"/>
      <c r="B639" s="4"/>
      <c r="C639" s="4"/>
      <c r="D639" s="3"/>
      <c r="E639" s="4"/>
      <c r="F639" s="4"/>
      <c r="G639" s="4"/>
      <c r="H639" s="4"/>
      <c r="I639" s="3"/>
      <c r="J639" s="3"/>
      <c r="K639" s="3"/>
      <c r="L639" s="4"/>
      <c r="M639" s="4"/>
      <c r="N639" s="4"/>
      <c r="O639" s="3"/>
      <c r="P639" s="4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6.5" customHeight="1" x14ac:dyDescent="0.3">
      <c r="A640" s="4"/>
      <c r="B640" s="4"/>
      <c r="C640" s="4"/>
      <c r="D640" s="3"/>
      <c r="E640" s="4"/>
      <c r="F640" s="4"/>
      <c r="G640" s="4"/>
      <c r="H640" s="4"/>
      <c r="I640" s="3"/>
      <c r="J640" s="3"/>
      <c r="K640" s="3"/>
      <c r="L640" s="4"/>
      <c r="M640" s="4"/>
      <c r="N640" s="4"/>
      <c r="O640" s="3"/>
      <c r="P640" s="4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6.5" customHeight="1" x14ac:dyDescent="0.3">
      <c r="A641" s="4"/>
      <c r="B641" s="4"/>
      <c r="C641" s="4"/>
      <c r="D641" s="3"/>
      <c r="E641" s="4"/>
      <c r="F641" s="4"/>
      <c r="G641" s="4"/>
      <c r="H641" s="4"/>
      <c r="I641" s="3"/>
      <c r="J641" s="3"/>
      <c r="K641" s="3"/>
      <c r="L641" s="4"/>
      <c r="M641" s="4"/>
      <c r="N641" s="4"/>
      <c r="O641" s="3"/>
      <c r="P641" s="4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6.5" customHeight="1" x14ac:dyDescent="0.3">
      <c r="A642" s="4"/>
      <c r="B642" s="4"/>
      <c r="C642" s="4"/>
      <c r="D642" s="3"/>
      <c r="E642" s="4"/>
      <c r="F642" s="4"/>
      <c r="G642" s="4"/>
      <c r="H642" s="4"/>
      <c r="I642" s="3"/>
      <c r="J642" s="3"/>
      <c r="K642" s="3"/>
      <c r="L642" s="4"/>
      <c r="M642" s="4"/>
      <c r="N642" s="4"/>
      <c r="O642" s="3"/>
      <c r="P642" s="4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6.5" customHeight="1" x14ac:dyDescent="0.3">
      <c r="A643" s="4"/>
      <c r="B643" s="4"/>
      <c r="C643" s="4"/>
      <c r="D643" s="3"/>
      <c r="E643" s="4"/>
      <c r="F643" s="4"/>
      <c r="G643" s="4"/>
      <c r="H643" s="4"/>
      <c r="I643" s="3"/>
      <c r="J643" s="3"/>
      <c r="K643" s="3"/>
      <c r="L643" s="4"/>
      <c r="M643" s="4"/>
      <c r="N643" s="4"/>
      <c r="O643" s="3"/>
      <c r="P643" s="4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6.5" customHeight="1" x14ac:dyDescent="0.3">
      <c r="A644" s="4"/>
      <c r="B644" s="4"/>
      <c r="C644" s="4"/>
      <c r="D644" s="3"/>
      <c r="E644" s="4"/>
      <c r="F644" s="4"/>
      <c r="G644" s="4"/>
      <c r="H644" s="4"/>
      <c r="I644" s="3"/>
      <c r="J644" s="3"/>
      <c r="K644" s="3"/>
      <c r="L644" s="4"/>
      <c r="M644" s="4"/>
      <c r="N644" s="4"/>
      <c r="O644" s="3"/>
      <c r="P644" s="4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6.5" customHeight="1" x14ac:dyDescent="0.3">
      <c r="A645" s="4"/>
      <c r="B645" s="4"/>
      <c r="C645" s="4"/>
      <c r="D645" s="3"/>
      <c r="E645" s="4"/>
      <c r="F645" s="4"/>
      <c r="G645" s="4"/>
      <c r="H645" s="4"/>
      <c r="I645" s="3"/>
      <c r="J645" s="3"/>
      <c r="K645" s="3"/>
      <c r="L645" s="4"/>
      <c r="M645" s="4"/>
      <c r="N645" s="4"/>
      <c r="O645" s="3"/>
      <c r="P645" s="4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6.5" customHeight="1" x14ac:dyDescent="0.3">
      <c r="A646" s="4"/>
      <c r="B646" s="4"/>
      <c r="C646" s="4"/>
      <c r="D646" s="3"/>
      <c r="E646" s="4"/>
      <c r="F646" s="4"/>
      <c r="G646" s="4"/>
      <c r="H646" s="4"/>
      <c r="I646" s="3"/>
      <c r="J646" s="3"/>
      <c r="K646" s="3"/>
      <c r="L646" s="4"/>
      <c r="M646" s="4"/>
      <c r="N646" s="4"/>
      <c r="O646" s="3"/>
      <c r="P646" s="4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6.5" customHeight="1" x14ac:dyDescent="0.3">
      <c r="A647" s="4"/>
      <c r="B647" s="4"/>
      <c r="C647" s="4"/>
      <c r="D647" s="3"/>
      <c r="E647" s="4"/>
      <c r="F647" s="4"/>
      <c r="G647" s="4"/>
      <c r="H647" s="4"/>
      <c r="I647" s="3"/>
      <c r="J647" s="3"/>
      <c r="K647" s="3"/>
      <c r="L647" s="4"/>
      <c r="M647" s="4"/>
      <c r="N647" s="4"/>
      <c r="O647" s="3"/>
      <c r="P647" s="4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6.5" customHeight="1" x14ac:dyDescent="0.3">
      <c r="A648" s="4"/>
      <c r="B648" s="4"/>
      <c r="C648" s="4"/>
      <c r="D648" s="3"/>
      <c r="E648" s="4"/>
      <c r="F648" s="4"/>
      <c r="G648" s="4"/>
      <c r="H648" s="4"/>
      <c r="I648" s="3"/>
      <c r="J648" s="3"/>
      <c r="K648" s="3"/>
      <c r="L648" s="4"/>
      <c r="M648" s="4"/>
      <c r="N648" s="4"/>
      <c r="O648" s="3"/>
      <c r="P648" s="4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6.5" customHeight="1" x14ac:dyDescent="0.3">
      <c r="A649" s="4"/>
      <c r="B649" s="4"/>
      <c r="C649" s="4"/>
      <c r="D649" s="3"/>
      <c r="E649" s="4"/>
      <c r="F649" s="4"/>
      <c r="G649" s="4"/>
      <c r="H649" s="4"/>
      <c r="I649" s="3"/>
      <c r="J649" s="3"/>
      <c r="K649" s="3"/>
      <c r="L649" s="4"/>
      <c r="M649" s="4"/>
      <c r="N649" s="4"/>
      <c r="O649" s="3"/>
      <c r="P649" s="4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6.5" customHeight="1" x14ac:dyDescent="0.3">
      <c r="A650" s="4"/>
      <c r="B650" s="4"/>
      <c r="C650" s="4"/>
      <c r="D650" s="3"/>
      <c r="E650" s="4"/>
      <c r="F650" s="4"/>
      <c r="G650" s="4"/>
      <c r="H650" s="4"/>
      <c r="I650" s="3"/>
      <c r="J650" s="3"/>
      <c r="K650" s="3"/>
      <c r="L650" s="4"/>
      <c r="M650" s="4"/>
      <c r="N650" s="4"/>
      <c r="O650" s="3"/>
      <c r="P650" s="4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6.5" customHeight="1" x14ac:dyDescent="0.3">
      <c r="A651" s="4"/>
      <c r="B651" s="4"/>
      <c r="C651" s="4"/>
      <c r="D651" s="3"/>
      <c r="E651" s="4"/>
      <c r="F651" s="4"/>
      <c r="G651" s="4"/>
      <c r="H651" s="4"/>
      <c r="I651" s="3"/>
      <c r="J651" s="3"/>
      <c r="K651" s="3"/>
      <c r="L651" s="4"/>
      <c r="M651" s="4"/>
      <c r="N651" s="4"/>
      <c r="O651" s="3"/>
      <c r="P651" s="4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6.5" customHeight="1" x14ac:dyDescent="0.3">
      <c r="A652" s="4"/>
      <c r="B652" s="4"/>
      <c r="C652" s="4"/>
      <c r="D652" s="3"/>
      <c r="E652" s="4"/>
      <c r="F652" s="4"/>
      <c r="G652" s="4"/>
      <c r="H652" s="4"/>
      <c r="I652" s="3"/>
      <c r="J652" s="3"/>
      <c r="K652" s="3"/>
      <c r="L652" s="4"/>
      <c r="M652" s="4"/>
      <c r="N652" s="4"/>
      <c r="O652" s="3"/>
      <c r="P652" s="4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6.5" customHeight="1" x14ac:dyDescent="0.3">
      <c r="A653" s="4"/>
      <c r="B653" s="4"/>
      <c r="C653" s="4"/>
      <c r="D653" s="3"/>
      <c r="E653" s="4"/>
      <c r="F653" s="4"/>
      <c r="G653" s="4"/>
      <c r="H653" s="4"/>
      <c r="I653" s="3"/>
      <c r="J653" s="3"/>
      <c r="K653" s="3"/>
      <c r="L653" s="4"/>
      <c r="M653" s="4"/>
      <c r="N653" s="4"/>
      <c r="O653" s="3"/>
      <c r="P653" s="4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6.5" customHeight="1" x14ac:dyDescent="0.3">
      <c r="A654" s="4"/>
      <c r="B654" s="4"/>
      <c r="C654" s="4"/>
      <c r="D654" s="3"/>
      <c r="E654" s="4"/>
      <c r="F654" s="4"/>
      <c r="G654" s="4"/>
      <c r="H654" s="4"/>
      <c r="I654" s="3"/>
      <c r="J654" s="3"/>
      <c r="K654" s="3"/>
      <c r="L654" s="4"/>
      <c r="M654" s="4"/>
      <c r="N654" s="4"/>
      <c r="O654" s="3"/>
      <c r="P654" s="4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6.5" customHeight="1" x14ac:dyDescent="0.3">
      <c r="A655" s="4"/>
      <c r="B655" s="4"/>
      <c r="C655" s="4"/>
      <c r="D655" s="3"/>
      <c r="E655" s="4"/>
      <c r="F655" s="4"/>
      <c r="G655" s="4"/>
      <c r="H655" s="4"/>
      <c r="I655" s="3"/>
      <c r="J655" s="3"/>
      <c r="K655" s="3"/>
      <c r="L655" s="4"/>
      <c r="M655" s="4"/>
      <c r="N655" s="4"/>
      <c r="O655" s="3"/>
      <c r="P655" s="4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6.5" customHeight="1" x14ac:dyDescent="0.3">
      <c r="A656" s="4"/>
      <c r="B656" s="4"/>
      <c r="C656" s="4"/>
      <c r="D656" s="3"/>
      <c r="E656" s="4"/>
      <c r="F656" s="4"/>
      <c r="G656" s="4"/>
      <c r="H656" s="4"/>
      <c r="I656" s="3"/>
      <c r="J656" s="3"/>
      <c r="K656" s="3"/>
      <c r="L656" s="4"/>
      <c r="M656" s="4"/>
      <c r="N656" s="4"/>
      <c r="O656" s="3"/>
      <c r="P656" s="4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6.5" customHeight="1" x14ac:dyDescent="0.3">
      <c r="A657" s="4"/>
      <c r="B657" s="4"/>
      <c r="C657" s="4"/>
      <c r="D657" s="3"/>
      <c r="E657" s="4"/>
      <c r="F657" s="4"/>
      <c r="G657" s="4"/>
      <c r="H657" s="4"/>
      <c r="I657" s="3"/>
      <c r="J657" s="3"/>
      <c r="K657" s="3"/>
      <c r="L657" s="4"/>
      <c r="M657" s="4"/>
      <c r="N657" s="4"/>
      <c r="O657" s="3"/>
      <c r="P657" s="4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6.5" customHeight="1" x14ac:dyDescent="0.3">
      <c r="A658" s="4"/>
      <c r="B658" s="4"/>
      <c r="C658" s="4"/>
      <c r="D658" s="3"/>
      <c r="E658" s="4"/>
      <c r="F658" s="4"/>
      <c r="G658" s="4"/>
      <c r="H658" s="4"/>
      <c r="I658" s="3"/>
      <c r="J658" s="3"/>
      <c r="K658" s="3"/>
      <c r="L658" s="4"/>
      <c r="M658" s="4"/>
      <c r="N658" s="4"/>
      <c r="O658" s="3"/>
      <c r="P658" s="4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6.5" customHeight="1" x14ac:dyDescent="0.3">
      <c r="A659" s="4"/>
      <c r="B659" s="4"/>
      <c r="C659" s="4"/>
      <c r="D659" s="3"/>
      <c r="E659" s="4"/>
      <c r="F659" s="4"/>
      <c r="G659" s="4"/>
      <c r="H659" s="4"/>
      <c r="I659" s="3"/>
      <c r="J659" s="3"/>
      <c r="K659" s="3"/>
      <c r="L659" s="4"/>
      <c r="M659" s="4"/>
      <c r="N659" s="4"/>
      <c r="O659" s="3"/>
      <c r="P659" s="4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6.5" customHeight="1" x14ac:dyDescent="0.3">
      <c r="A660" s="4"/>
      <c r="B660" s="4"/>
      <c r="C660" s="4"/>
      <c r="D660" s="3"/>
      <c r="E660" s="4"/>
      <c r="F660" s="4"/>
      <c r="G660" s="4"/>
      <c r="H660" s="4"/>
      <c r="I660" s="3"/>
      <c r="J660" s="3"/>
      <c r="K660" s="3"/>
      <c r="L660" s="4"/>
      <c r="M660" s="4"/>
      <c r="N660" s="4"/>
      <c r="O660" s="3"/>
      <c r="P660" s="4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6.5" customHeight="1" x14ac:dyDescent="0.3">
      <c r="A661" s="4"/>
      <c r="B661" s="4"/>
      <c r="C661" s="4"/>
      <c r="D661" s="3"/>
      <c r="E661" s="4"/>
      <c r="F661" s="4"/>
      <c r="G661" s="4"/>
      <c r="H661" s="4"/>
      <c r="I661" s="3"/>
      <c r="J661" s="3"/>
      <c r="K661" s="3"/>
      <c r="L661" s="4"/>
      <c r="M661" s="4"/>
      <c r="N661" s="4"/>
      <c r="O661" s="3"/>
      <c r="P661" s="4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6.5" customHeight="1" x14ac:dyDescent="0.3">
      <c r="A662" s="4"/>
      <c r="B662" s="4"/>
      <c r="C662" s="4"/>
      <c r="D662" s="3"/>
      <c r="E662" s="4"/>
      <c r="F662" s="4"/>
      <c r="G662" s="4"/>
      <c r="H662" s="4"/>
      <c r="I662" s="3"/>
      <c r="J662" s="3"/>
      <c r="K662" s="3"/>
      <c r="L662" s="4"/>
      <c r="M662" s="4"/>
      <c r="N662" s="4"/>
      <c r="O662" s="3"/>
      <c r="P662" s="4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6.5" customHeight="1" x14ac:dyDescent="0.3">
      <c r="A663" s="4"/>
      <c r="B663" s="4"/>
      <c r="C663" s="4"/>
      <c r="D663" s="3"/>
      <c r="E663" s="4"/>
      <c r="F663" s="4"/>
      <c r="G663" s="4"/>
      <c r="H663" s="4"/>
      <c r="I663" s="3"/>
      <c r="J663" s="3"/>
      <c r="K663" s="3"/>
      <c r="L663" s="4"/>
      <c r="M663" s="4"/>
      <c r="N663" s="4"/>
      <c r="O663" s="3"/>
      <c r="P663" s="4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6.5" customHeight="1" x14ac:dyDescent="0.3">
      <c r="A664" s="4"/>
      <c r="B664" s="4"/>
      <c r="C664" s="4"/>
      <c r="D664" s="3"/>
      <c r="E664" s="4"/>
      <c r="F664" s="4"/>
      <c r="G664" s="4"/>
      <c r="H664" s="4"/>
      <c r="I664" s="3"/>
      <c r="J664" s="3"/>
      <c r="K664" s="3"/>
      <c r="L664" s="4"/>
      <c r="M664" s="4"/>
      <c r="N664" s="4"/>
      <c r="O664" s="3"/>
      <c r="P664" s="4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6.5" customHeight="1" x14ac:dyDescent="0.3">
      <c r="A665" s="4"/>
      <c r="B665" s="4"/>
      <c r="C665" s="4"/>
      <c r="D665" s="3"/>
      <c r="E665" s="4"/>
      <c r="F665" s="4"/>
      <c r="G665" s="4"/>
      <c r="H665" s="4"/>
      <c r="I665" s="3"/>
      <c r="J665" s="3"/>
      <c r="K665" s="3"/>
      <c r="L665" s="4"/>
      <c r="M665" s="4"/>
      <c r="N665" s="4"/>
      <c r="O665" s="3"/>
      <c r="P665" s="4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6.5" customHeight="1" x14ac:dyDescent="0.3">
      <c r="A666" s="4"/>
      <c r="B666" s="4"/>
      <c r="C666" s="4"/>
      <c r="D666" s="3"/>
      <c r="E666" s="4"/>
      <c r="F666" s="4"/>
      <c r="G666" s="4"/>
      <c r="H666" s="4"/>
      <c r="I666" s="3"/>
      <c r="J666" s="3"/>
      <c r="K666" s="3"/>
      <c r="L666" s="4"/>
      <c r="M666" s="4"/>
      <c r="N666" s="4"/>
      <c r="O666" s="3"/>
      <c r="P666" s="4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6.5" customHeight="1" x14ac:dyDescent="0.3">
      <c r="A667" s="4"/>
      <c r="B667" s="4"/>
      <c r="C667" s="4"/>
      <c r="D667" s="3"/>
      <c r="E667" s="4"/>
      <c r="F667" s="4"/>
      <c r="G667" s="4"/>
      <c r="H667" s="4"/>
      <c r="I667" s="3"/>
      <c r="J667" s="3"/>
      <c r="K667" s="3"/>
      <c r="L667" s="4"/>
      <c r="M667" s="4"/>
      <c r="N667" s="4"/>
      <c r="O667" s="3"/>
      <c r="P667" s="4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6.5" customHeight="1" x14ac:dyDescent="0.3">
      <c r="A668" s="4"/>
      <c r="B668" s="4"/>
      <c r="C668" s="4"/>
      <c r="D668" s="3"/>
      <c r="E668" s="4"/>
      <c r="F668" s="4"/>
      <c r="G668" s="4"/>
      <c r="H668" s="4"/>
      <c r="I668" s="3"/>
      <c r="J668" s="3"/>
      <c r="K668" s="3"/>
      <c r="L668" s="4"/>
      <c r="M668" s="4"/>
      <c r="N668" s="4"/>
      <c r="O668" s="3"/>
      <c r="P668" s="4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6.5" customHeight="1" x14ac:dyDescent="0.3">
      <c r="A669" s="4"/>
      <c r="B669" s="4"/>
      <c r="C669" s="4"/>
      <c r="D669" s="3"/>
      <c r="E669" s="4"/>
      <c r="F669" s="4"/>
      <c r="G669" s="4"/>
      <c r="H669" s="4"/>
      <c r="I669" s="3"/>
      <c r="J669" s="3"/>
      <c r="K669" s="3"/>
      <c r="L669" s="4"/>
      <c r="M669" s="4"/>
      <c r="N669" s="4"/>
      <c r="O669" s="3"/>
      <c r="P669" s="4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6.5" customHeight="1" x14ac:dyDescent="0.3">
      <c r="A670" s="4"/>
      <c r="B670" s="4"/>
      <c r="C670" s="4"/>
      <c r="D670" s="3"/>
      <c r="E670" s="4"/>
      <c r="F670" s="4"/>
      <c r="G670" s="4"/>
      <c r="H670" s="4"/>
      <c r="I670" s="3"/>
      <c r="J670" s="3"/>
      <c r="K670" s="3"/>
      <c r="L670" s="4"/>
      <c r="M670" s="4"/>
      <c r="N670" s="4"/>
      <c r="O670" s="3"/>
      <c r="P670" s="4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6.5" customHeight="1" x14ac:dyDescent="0.3">
      <c r="A671" s="4"/>
      <c r="B671" s="4"/>
      <c r="C671" s="4"/>
      <c r="D671" s="3"/>
      <c r="E671" s="4"/>
      <c r="F671" s="4"/>
      <c r="G671" s="4"/>
      <c r="H671" s="4"/>
      <c r="I671" s="3"/>
      <c r="J671" s="3"/>
      <c r="K671" s="3"/>
      <c r="L671" s="4"/>
      <c r="M671" s="4"/>
      <c r="N671" s="4"/>
      <c r="O671" s="3"/>
      <c r="P671" s="4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6.5" customHeight="1" x14ac:dyDescent="0.3">
      <c r="A672" s="4"/>
      <c r="B672" s="4"/>
      <c r="C672" s="4"/>
      <c r="D672" s="3"/>
      <c r="E672" s="4"/>
      <c r="F672" s="4"/>
      <c r="G672" s="4"/>
      <c r="H672" s="4"/>
      <c r="I672" s="3"/>
      <c r="J672" s="3"/>
      <c r="K672" s="3"/>
      <c r="L672" s="4"/>
      <c r="M672" s="4"/>
      <c r="N672" s="4"/>
      <c r="O672" s="3"/>
      <c r="P672" s="4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6.5" customHeight="1" x14ac:dyDescent="0.3">
      <c r="A673" s="4"/>
      <c r="B673" s="4"/>
      <c r="C673" s="4"/>
      <c r="D673" s="3"/>
      <c r="E673" s="4"/>
      <c r="F673" s="4"/>
      <c r="G673" s="4"/>
      <c r="H673" s="4"/>
      <c r="I673" s="3"/>
      <c r="J673" s="3"/>
      <c r="K673" s="3"/>
      <c r="L673" s="4"/>
      <c r="M673" s="4"/>
      <c r="N673" s="4"/>
      <c r="O673" s="3"/>
      <c r="P673" s="4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6.5" customHeight="1" x14ac:dyDescent="0.3">
      <c r="A674" s="4"/>
      <c r="B674" s="4"/>
      <c r="C674" s="4"/>
      <c r="D674" s="3"/>
      <c r="E674" s="4"/>
      <c r="F674" s="4"/>
      <c r="G674" s="4"/>
      <c r="H674" s="4"/>
      <c r="I674" s="3"/>
      <c r="J674" s="3"/>
      <c r="K674" s="3"/>
      <c r="L674" s="4"/>
      <c r="M674" s="4"/>
      <c r="N674" s="4"/>
      <c r="O674" s="3"/>
      <c r="P674" s="4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6.5" customHeight="1" x14ac:dyDescent="0.3">
      <c r="A675" s="4"/>
      <c r="B675" s="4"/>
      <c r="C675" s="4"/>
      <c r="D675" s="3"/>
      <c r="E675" s="4"/>
      <c r="F675" s="4"/>
      <c r="G675" s="4"/>
      <c r="H675" s="4"/>
      <c r="I675" s="3"/>
      <c r="J675" s="3"/>
      <c r="K675" s="3"/>
      <c r="L675" s="4"/>
      <c r="M675" s="4"/>
      <c r="N675" s="4"/>
      <c r="O675" s="3"/>
      <c r="P675" s="4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6.5" customHeight="1" x14ac:dyDescent="0.3">
      <c r="A676" s="4"/>
      <c r="B676" s="4"/>
      <c r="C676" s="4"/>
      <c r="D676" s="3"/>
      <c r="E676" s="4"/>
      <c r="F676" s="4"/>
      <c r="G676" s="4"/>
      <c r="H676" s="4"/>
      <c r="I676" s="3"/>
      <c r="J676" s="3"/>
      <c r="K676" s="3"/>
      <c r="L676" s="4"/>
      <c r="M676" s="4"/>
      <c r="N676" s="4"/>
      <c r="O676" s="3"/>
      <c r="P676" s="4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6.5" customHeight="1" x14ac:dyDescent="0.3">
      <c r="A677" s="4"/>
      <c r="B677" s="4"/>
      <c r="C677" s="4"/>
      <c r="D677" s="3"/>
      <c r="E677" s="4"/>
      <c r="F677" s="4"/>
      <c r="G677" s="4"/>
      <c r="H677" s="4"/>
      <c r="I677" s="3"/>
      <c r="J677" s="3"/>
      <c r="K677" s="3"/>
      <c r="L677" s="4"/>
      <c r="M677" s="4"/>
      <c r="N677" s="4"/>
      <c r="O677" s="3"/>
      <c r="P677" s="4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6.5" customHeight="1" x14ac:dyDescent="0.3">
      <c r="A678" s="4"/>
      <c r="B678" s="4"/>
      <c r="C678" s="4"/>
      <c r="D678" s="3"/>
      <c r="E678" s="4"/>
      <c r="F678" s="4"/>
      <c r="G678" s="4"/>
      <c r="H678" s="4"/>
      <c r="I678" s="3"/>
      <c r="J678" s="3"/>
      <c r="K678" s="3"/>
      <c r="L678" s="4"/>
      <c r="M678" s="4"/>
      <c r="N678" s="4"/>
      <c r="O678" s="3"/>
      <c r="P678" s="4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6.5" customHeight="1" x14ac:dyDescent="0.3">
      <c r="A679" s="4"/>
      <c r="B679" s="4"/>
      <c r="C679" s="4"/>
      <c r="D679" s="3"/>
      <c r="E679" s="4"/>
      <c r="F679" s="4"/>
      <c r="G679" s="4"/>
      <c r="H679" s="4"/>
      <c r="I679" s="3"/>
      <c r="J679" s="3"/>
      <c r="K679" s="3"/>
      <c r="L679" s="4"/>
      <c r="M679" s="4"/>
      <c r="N679" s="4"/>
      <c r="O679" s="3"/>
      <c r="P679" s="4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6.5" customHeight="1" x14ac:dyDescent="0.3">
      <c r="A680" s="4"/>
      <c r="B680" s="4"/>
      <c r="C680" s="4"/>
      <c r="D680" s="3"/>
      <c r="E680" s="4"/>
      <c r="F680" s="4"/>
      <c r="G680" s="4"/>
      <c r="H680" s="4"/>
      <c r="I680" s="3"/>
      <c r="J680" s="3"/>
      <c r="K680" s="3"/>
      <c r="L680" s="4"/>
      <c r="M680" s="4"/>
      <c r="N680" s="4"/>
      <c r="O680" s="3"/>
      <c r="P680" s="4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6.5" customHeight="1" x14ac:dyDescent="0.3">
      <c r="A681" s="4"/>
      <c r="B681" s="4"/>
      <c r="C681" s="4"/>
      <c r="D681" s="3"/>
      <c r="E681" s="4"/>
      <c r="F681" s="4"/>
      <c r="G681" s="4"/>
      <c r="H681" s="4"/>
      <c r="I681" s="3"/>
      <c r="J681" s="3"/>
      <c r="K681" s="3"/>
      <c r="L681" s="4"/>
      <c r="M681" s="4"/>
      <c r="N681" s="4"/>
      <c r="O681" s="3"/>
      <c r="P681" s="4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6.5" customHeight="1" x14ac:dyDescent="0.3">
      <c r="A682" s="4"/>
      <c r="B682" s="4"/>
      <c r="C682" s="4"/>
      <c r="D682" s="3"/>
      <c r="E682" s="4"/>
      <c r="F682" s="4"/>
      <c r="G682" s="4"/>
      <c r="H682" s="4"/>
      <c r="I682" s="3"/>
      <c r="J682" s="3"/>
      <c r="K682" s="3"/>
      <c r="L682" s="4"/>
      <c r="M682" s="4"/>
      <c r="N682" s="4"/>
      <c r="O682" s="3"/>
      <c r="P682" s="4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6.5" customHeight="1" x14ac:dyDescent="0.3">
      <c r="A683" s="4"/>
      <c r="B683" s="4"/>
      <c r="C683" s="4"/>
      <c r="D683" s="3"/>
      <c r="E683" s="4"/>
      <c r="F683" s="4"/>
      <c r="G683" s="4"/>
      <c r="H683" s="4"/>
      <c r="I683" s="3"/>
      <c r="J683" s="3"/>
      <c r="K683" s="3"/>
      <c r="L683" s="4"/>
      <c r="M683" s="4"/>
      <c r="N683" s="4"/>
      <c r="O683" s="3"/>
      <c r="P683" s="4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6.5" customHeight="1" x14ac:dyDescent="0.3">
      <c r="A684" s="4"/>
      <c r="B684" s="4"/>
      <c r="C684" s="4"/>
      <c r="D684" s="3"/>
      <c r="E684" s="4"/>
      <c r="F684" s="4"/>
      <c r="G684" s="4"/>
      <c r="H684" s="4"/>
      <c r="I684" s="3"/>
      <c r="J684" s="3"/>
      <c r="K684" s="3"/>
      <c r="L684" s="4"/>
      <c r="M684" s="4"/>
      <c r="N684" s="4"/>
      <c r="O684" s="3"/>
      <c r="P684" s="4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6.5" customHeight="1" x14ac:dyDescent="0.3">
      <c r="A685" s="4"/>
      <c r="B685" s="4"/>
      <c r="C685" s="4"/>
      <c r="D685" s="3"/>
      <c r="E685" s="4"/>
      <c r="F685" s="4"/>
      <c r="G685" s="4"/>
      <c r="H685" s="4"/>
      <c r="I685" s="3"/>
      <c r="J685" s="3"/>
      <c r="K685" s="3"/>
      <c r="L685" s="4"/>
      <c r="M685" s="4"/>
      <c r="N685" s="4"/>
      <c r="O685" s="3"/>
      <c r="P685" s="4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6.5" customHeight="1" x14ac:dyDescent="0.3">
      <c r="A686" s="4"/>
      <c r="B686" s="4"/>
      <c r="C686" s="4"/>
      <c r="D686" s="3"/>
      <c r="E686" s="4"/>
      <c r="F686" s="4"/>
      <c r="G686" s="4"/>
      <c r="H686" s="4"/>
      <c r="I686" s="3"/>
      <c r="J686" s="3"/>
      <c r="K686" s="3"/>
      <c r="L686" s="4"/>
      <c r="M686" s="4"/>
      <c r="N686" s="4"/>
      <c r="O686" s="3"/>
      <c r="P686" s="4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6.5" customHeight="1" x14ac:dyDescent="0.3">
      <c r="A687" s="4"/>
      <c r="B687" s="4"/>
      <c r="C687" s="4"/>
      <c r="D687" s="3"/>
      <c r="E687" s="4"/>
      <c r="F687" s="4"/>
      <c r="G687" s="4"/>
      <c r="H687" s="4"/>
      <c r="I687" s="3"/>
      <c r="J687" s="3"/>
      <c r="K687" s="3"/>
      <c r="L687" s="4"/>
      <c r="M687" s="4"/>
      <c r="N687" s="4"/>
      <c r="O687" s="3"/>
      <c r="P687" s="4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6.5" customHeight="1" x14ac:dyDescent="0.3">
      <c r="A688" s="4"/>
      <c r="B688" s="4"/>
      <c r="C688" s="4"/>
      <c r="D688" s="3"/>
      <c r="E688" s="4"/>
      <c r="F688" s="4"/>
      <c r="G688" s="4"/>
      <c r="H688" s="4"/>
      <c r="I688" s="3"/>
      <c r="J688" s="3"/>
      <c r="K688" s="3"/>
      <c r="L688" s="4"/>
      <c r="M688" s="4"/>
      <c r="N688" s="4"/>
      <c r="O688" s="3"/>
      <c r="P688" s="4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6.5" customHeight="1" x14ac:dyDescent="0.3">
      <c r="A689" s="4"/>
      <c r="B689" s="4"/>
      <c r="C689" s="4"/>
      <c r="D689" s="3"/>
      <c r="E689" s="4"/>
      <c r="F689" s="4"/>
      <c r="G689" s="4"/>
      <c r="H689" s="4"/>
      <c r="I689" s="3"/>
      <c r="J689" s="3"/>
      <c r="K689" s="3"/>
      <c r="L689" s="4"/>
      <c r="M689" s="4"/>
      <c r="N689" s="4"/>
      <c r="O689" s="3"/>
      <c r="P689" s="4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6.5" customHeight="1" x14ac:dyDescent="0.3">
      <c r="A690" s="4"/>
      <c r="B690" s="4"/>
      <c r="C690" s="4"/>
      <c r="D690" s="3"/>
      <c r="E690" s="4"/>
      <c r="F690" s="4"/>
      <c r="G690" s="4"/>
      <c r="H690" s="4"/>
      <c r="I690" s="3"/>
      <c r="J690" s="3"/>
      <c r="K690" s="3"/>
      <c r="L690" s="4"/>
      <c r="M690" s="4"/>
      <c r="N690" s="4"/>
      <c r="O690" s="3"/>
      <c r="P690" s="4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6.5" customHeight="1" x14ac:dyDescent="0.3">
      <c r="A691" s="4"/>
      <c r="B691" s="4"/>
      <c r="C691" s="4"/>
      <c r="D691" s="3"/>
      <c r="E691" s="4"/>
      <c r="F691" s="4"/>
      <c r="G691" s="4"/>
      <c r="H691" s="4"/>
      <c r="I691" s="3"/>
      <c r="J691" s="3"/>
      <c r="K691" s="3"/>
      <c r="L691" s="4"/>
      <c r="M691" s="4"/>
      <c r="N691" s="4"/>
      <c r="O691" s="3"/>
      <c r="P691" s="4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6.5" customHeight="1" x14ac:dyDescent="0.3">
      <c r="A692" s="4"/>
      <c r="B692" s="4"/>
      <c r="C692" s="4"/>
      <c r="D692" s="3"/>
      <c r="E692" s="4"/>
      <c r="F692" s="4"/>
      <c r="G692" s="4"/>
      <c r="H692" s="4"/>
      <c r="I692" s="3"/>
      <c r="J692" s="3"/>
      <c r="K692" s="3"/>
      <c r="L692" s="4"/>
      <c r="M692" s="4"/>
      <c r="N692" s="4"/>
      <c r="O692" s="3"/>
      <c r="P692" s="4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6.5" customHeight="1" x14ac:dyDescent="0.3">
      <c r="A693" s="4"/>
      <c r="B693" s="4"/>
      <c r="C693" s="4"/>
      <c r="D693" s="3"/>
      <c r="E693" s="4"/>
      <c r="F693" s="4"/>
      <c r="G693" s="4"/>
      <c r="H693" s="4"/>
      <c r="I693" s="3"/>
      <c r="J693" s="3"/>
      <c r="K693" s="3"/>
      <c r="L693" s="4"/>
      <c r="M693" s="4"/>
      <c r="N693" s="4"/>
      <c r="O693" s="3"/>
      <c r="P693" s="4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6.5" customHeight="1" x14ac:dyDescent="0.3">
      <c r="A694" s="4"/>
      <c r="B694" s="4"/>
      <c r="C694" s="4"/>
      <c r="D694" s="3"/>
      <c r="E694" s="4"/>
      <c r="F694" s="4"/>
      <c r="G694" s="4"/>
      <c r="H694" s="4"/>
      <c r="I694" s="3"/>
      <c r="J694" s="3"/>
      <c r="K694" s="3"/>
      <c r="L694" s="4"/>
      <c r="M694" s="4"/>
      <c r="N694" s="4"/>
      <c r="O694" s="3"/>
      <c r="P694" s="4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6.5" customHeight="1" x14ac:dyDescent="0.3">
      <c r="A695" s="4"/>
      <c r="B695" s="4"/>
      <c r="C695" s="4"/>
      <c r="D695" s="3"/>
      <c r="E695" s="4"/>
      <c r="F695" s="4"/>
      <c r="G695" s="4"/>
      <c r="H695" s="4"/>
      <c r="I695" s="3"/>
      <c r="J695" s="3"/>
      <c r="K695" s="3"/>
      <c r="L695" s="4"/>
      <c r="M695" s="4"/>
      <c r="N695" s="4"/>
      <c r="O695" s="3"/>
      <c r="P695" s="4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6.5" customHeight="1" x14ac:dyDescent="0.3">
      <c r="A696" s="4"/>
      <c r="B696" s="4"/>
      <c r="C696" s="4"/>
      <c r="D696" s="3"/>
      <c r="E696" s="4"/>
      <c r="F696" s="4"/>
      <c r="G696" s="4"/>
      <c r="H696" s="4"/>
      <c r="I696" s="3"/>
      <c r="J696" s="3"/>
      <c r="K696" s="3"/>
      <c r="L696" s="4"/>
      <c r="M696" s="4"/>
      <c r="N696" s="4"/>
      <c r="O696" s="3"/>
      <c r="P696" s="4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6.5" customHeight="1" x14ac:dyDescent="0.3">
      <c r="A697" s="4"/>
      <c r="B697" s="4"/>
      <c r="C697" s="4"/>
      <c r="D697" s="3"/>
      <c r="E697" s="4"/>
      <c r="F697" s="4"/>
      <c r="G697" s="4"/>
      <c r="H697" s="4"/>
      <c r="I697" s="3"/>
      <c r="J697" s="3"/>
      <c r="K697" s="3"/>
      <c r="L697" s="4"/>
      <c r="M697" s="4"/>
      <c r="N697" s="4"/>
      <c r="O697" s="3"/>
      <c r="P697" s="4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6.5" customHeight="1" x14ac:dyDescent="0.3">
      <c r="A698" s="4"/>
      <c r="B698" s="4"/>
      <c r="C698" s="4"/>
      <c r="D698" s="3"/>
      <c r="E698" s="4"/>
      <c r="F698" s="4"/>
      <c r="G698" s="4"/>
      <c r="H698" s="4"/>
      <c r="I698" s="3"/>
      <c r="J698" s="3"/>
      <c r="K698" s="3"/>
      <c r="L698" s="4"/>
      <c r="M698" s="4"/>
      <c r="N698" s="4"/>
      <c r="O698" s="3"/>
      <c r="P698" s="4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6.5" customHeight="1" x14ac:dyDescent="0.3">
      <c r="A699" s="4"/>
      <c r="B699" s="4"/>
      <c r="C699" s="4"/>
      <c r="D699" s="3"/>
      <c r="E699" s="4"/>
      <c r="F699" s="4"/>
      <c r="G699" s="4"/>
      <c r="H699" s="4"/>
      <c r="I699" s="3"/>
      <c r="J699" s="3"/>
      <c r="K699" s="3"/>
      <c r="L699" s="4"/>
      <c r="M699" s="4"/>
      <c r="N699" s="4"/>
      <c r="O699" s="3"/>
      <c r="P699" s="4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6.5" customHeight="1" x14ac:dyDescent="0.3">
      <c r="A700" s="4"/>
      <c r="B700" s="4"/>
      <c r="C700" s="4"/>
      <c r="D700" s="3"/>
      <c r="E700" s="4"/>
      <c r="F700" s="4"/>
      <c r="G700" s="4"/>
      <c r="H700" s="4"/>
      <c r="I700" s="3"/>
      <c r="J700" s="3"/>
      <c r="K700" s="3"/>
      <c r="L700" s="4"/>
      <c r="M700" s="4"/>
      <c r="N700" s="4"/>
      <c r="O700" s="3"/>
      <c r="P700" s="4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6.5" customHeight="1" x14ac:dyDescent="0.3">
      <c r="A701" s="4"/>
      <c r="B701" s="4"/>
      <c r="C701" s="4"/>
      <c r="D701" s="3"/>
      <c r="E701" s="4"/>
      <c r="F701" s="4"/>
      <c r="G701" s="4"/>
      <c r="H701" s="4"/>
      <c r="I701" s="3"/>
      <c r="J701" s="3"/>
      <c r="K701" s="3"/>
      <c r="L701" s="4"/>
      <c r="M701" s="4"/>
      <c r="N701" s="4"/>
      <c r="O701" s="3"/>
      <c r="P701" s="4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6.5" customHeight="1" x14ac:dyDescent="0.3">
      <c r="A702" s="4"/>
      <c r="B702" s="4"/>
      <c r="C702" s="4"/>
      <c r="D702" s="3"/>
      <c r="E702" s="4"/>
      <c r="F702" s="4"/>
      <c r="G702" s="4"/>
      <c r="H702" s="4"/>
      <c r="I702" s="3"/>
      <c r="J702" s="3"/>
      <c r="K702" s="3"/>
      <c r="L702" s="4"/>
      <c r="M702" s="4"/>
      <c r="N702" s="4"/>
      <c r="O702" s="3"/>
      <c r="P702" s="4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6.5" customHeight="1" x14ac:dyDescent="0.3">
      <c r="A703" s="4"/>
      <c r="B703" s="4"/>
      <c r="C703" s="4"/>
      <c r="D703" s="3"/>
      <c r="E703" s="4"/>
      <c r="F703" s="4"/>
      <c r="G703" s="4"/>
      <c r="H703" s="4"/>
      <c r="I703" s="3"/>
      <c r="J703" s="3"/>
      <c r="K703" s="3"/>
      <c r="L703" s="4"/>
      <c r="M703" s="4"/>
      <c r="N703" s="4"/>
      <c r="O703" s="3"/>
      <c r="P703" s="4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6.5" customHeight="1" x14ac:dyDescent="0.3">
      <c r="A704" s="4"/>
      <c r="B704" s="4"/>
      <c r="C704" s="4"/>
      <c r="D704" s="3"/>
      <c r="E704" s="4"/>
      <c r="F704" s="4"/>
      <c r="G704" s="4"/>
      <c r="H704" s="4"/>
      <c r="I704" s="3"/>
      <c r="J704" s="3"/>
      <c r="K704" s="3"/>
      <c r="L704" s="4"/>
      <c r="M704" s="4"/>
      <c r="N704" s="4"/>
      <c r="O704" s="3"/>
      <c r="P704" s="4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6.5" customHeight="1" x14ac:dyDescent="0.3">
      <c r="A705" s="4"/>
      <c r="B705" s="4"/>
      <c r="C705" s="4"/>
      <c r="D705" s="3"/>
      <c r="E705" s="4"/>
      <c r="F705" s="4"/>
      <c r="G705" s="4"/>
      <c r="H705" s="4"/>
      <c r="I705" s="3"/>
      <c r="J705" s="3"/>
      <c r="K705" s="3"/>
      <c r="L705" s="4"/>
      <c r="M705" s="4"/>
      <c r="N705" s="4"/>
      <c r="O705" s="3"/>
      <c r="P705" s="4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6.5" customHeight="1" x14ac:dyDescent="0.3">
      <c r="A706" s="4"/>
      <c r="B706" s="4"/>
      <c r="C706" s="4"/>
      <c r="D706" s="3"/>
      <c r="E706" s="4"/>
      <c r="F706" s="4"/>
      <c r="G706" s="4"/>
      <c r="H706" s="4"/>
      <c r="I706" s="3"/>
      <c r="J706" s="3"/>
      <c r="K706" s="3"/>
      <c r="L706" s="4"/>
      <c r="M706" s="4"/>
      <c r="N706" s="4"/>
      <c r="O706" s="3"/>
      <c r="P706" s="4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6.5" customHeight="1" x14ac:dyDescent="0.3">
      <c r="A707" s="4"/>
      <c r="B707" s="4"/>
      <c r="C707" s="4"/>
      <c r="D707" s="3"/>
      <c r="E707" s="4"/>
      <c r="F707" s="4"/>
      <c r="G707" s="4"/>
      <c r="H707" s="4"/>
      <c r="I707" s="3"/>
      <c r="J707" s="3"/>
      <c r="K707" s="3"/>
      <c r="L707" s="4"/>
      <c r="M707" s="4"/>
      <c r="N707" s="4"/>
      <c r="O707" s="3"/>
      <c r="P707" s="4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6.5" customHeight="1" x14ac:dyDescent="0.3">
      <c r="A708" s="4"/>
      <c r="B708" s="4"/>
      <c r="C708" s="4"/>
      <c r="D708" s="3"/>
      <c r="E708" s="4"/>
      <c r="F708" s="4"/>
      <c r="G708" s="4"/>
      <c r="H708" s="4"/>
      <c r="I708" s="3"/>
      <c r="J708" s="3"/>
      <c r="K708" s="3"/>
      <c r="L708" s="4"/>
      <c r="M708" s="4"/>
      <c r="N708" s="4"/>
      <c r="O708" s="3"/>
      <c r="P708" s="4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6.5" customHeight="1" x14ac:dyDescent="0.3">
      <c r="A709" s="4"/>
      <c r="B709" s="4"/>
      <c r="C709" s="4"/>
      <c r="D709" s="3"/>
      <c r="E709" s="4"/>
      <c r="F709" s="4"/>
      <c r="G709" s="4"/>
      <c r="H709" s="4"/>
      <c r="I709" s="3"/>
      <c r="J709" s="3"/>
      <c r="K709" s="3"/>
      <c r="L709" s="4"/>
      <c r="M709" s="4"/>
      <c r="N709" s="4"/>
      <c r="O709" s="3"/>
      <c r="P709" s="4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6.5" customHeight="1" x14ac:dyDescent="0.3">
      <c r="A710" s="4"/>
      <c r="B710" s="4"/>
      <c r="C710" s="4"/>
      <c r="D710" s="3"/>
      <c r="E710" s="4"/>
      <c r="F710" s="4"/>
      <c r="G710" s="4"/>
      <c r="H710" s="4"/>
      <c r="I710" s="3"/>
      <c r="J710" s="3"/>
      <c r="K710" s="3"/>
      <c r="L710" s="4"/>
      <c r="M710" s="4"/>
      <c r="N710" s="4"/>
      <c r="O710" s="3"/>
      <c r="P710" s="4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6.5" customHeight="1" x14ac:dyDescent="0.3">
      <c r="A711" s="4"/>
      <c r="B711" s="4"/>
      <c r="C711" s="4"/>
      <c r="D711" s="3"/>
      <c r="E711" s="4"/>
      <c r="F711" s="4"/>
      <c r="G711" s="4"/>
      <c r="H711" s="4"/>
      <c r="I711" s="3"/>
      <c r="J711" s="3"/>
      <c r="K711" s="3"/>
      <c r="L711" s="4"/>
      <c r="M711" s="4"/>
      <c r="N711" s="4"/>
      <c r="O711" s="3"/>
      <c r="P711" s="4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6.5" customHeight="1" x14ac:dyDescent="0.3">
      <c r="A712" s="4"/>
      <c r="B712" s="4"/>
      <c r="C712" s="4"/>
      <c r="D712" s="3"/>
      <c r="E712" s="4"/>
      <c r="F712" s="4"/>
      <c r="G712" s="4"/>
      <c r="H712" s="4"/>
      <c r="I712" s="3"/>
      <c r="J712" s="3"/>
      <c r="K712" s="3"/>
      <c r="L712" s="4"/>
      <c r="M712" s="4"/>
      <c r="N712" s="4"/>
      <c r="O712" s="3"/>
      <c r="P712" s="4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6.5" customHeight="1" x14ac:dyDescent="0.3">
      <c r="A713" s="4"/>
      <c r="B713" s="4"/>
      <c r="C713" s="4"/>
      <c r="D713" s="3"/>
      <c r="E713" s="4"/>
      <c r="F713" s="4"/>
      <c r="G713" s="4"/>
      <c r="H713" s="4"/>
      <c r="I713" s="3"/>
      <c r="J713" s="3"/>
      <c r="K713" s="3"/>
      <c r="L713" s="4"/>
      <c r="M713" s="4"/>
      <c r="N713" s="4"/>
      <c r="O713" s="3"/>
      <c r="P713" s="4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6.5" customHeight="1" x14ac:dyDescent="0.3">
      <c r="A714" s="4"/>
      <c r="B714" s="4"/>
      <c r="C714" s="4"/>
      <c r="D714" s="3"/>
      <c r="E714" s="4"/>
      <c r="F714" s="4"/>
      <c r="G714" s="4"/>
      <c r="H714" s="4"/>
      <c r="I714" s="3"/>
      <c r="J714" s="3"/>
      <c r="K714" s="3"/>
      <c r="L714" s="4"/>
      <c r="M714" s="4"/>
      <c r="N714" s="4"/>
      <c r="O714" s="3"/>
      <c r="P714" s="4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6.5" customHeight="1" x14ac:dyDescent="0.3">
      <c r="A715" s="4"/>
      <c r="B715" s="4"/>
      <c r="C715" s="4"/>
      <c r="D715" s="3"/>
      <c r="E715" s="4"/>
      <c r="F715" s="4"/>
      <c r="G715" s="4"/>
      <c r="H715" s="4"/>
      <c r="I715" s="3"/>
      <c r="J715" s="3"/>
      <c r="K715" s="3"/>
      <c r="L715" s="4"/>
      <c r="M715" s="4"/>
      <c r="N715" s="4"/>
      <c r="O715" s="3"/>
      <c r="P715" s="4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6.5" customHeight="1" x14ac:dyDescent="0.3">
      <c r="A716" s="4"/>
      <c r="B716" s="4"/>
      <c r="C716" s="4"/>
      <c r="D716" s="3"/>
      <c r="E716" s="4"/>
      <c r="F716" s="4"/>
      <c r="G716" s="4"/>
      <c r="H716" s="4"/>
      <c r="I716" s="3"/>
      <c r="J716" s="3"/>
      <c r="K716" s="3"/>
      <c r="L716" s="4"/>
      <c r="M716" s="4"/>
      <c r="N716" s="4"/>
      <c r="O716" s="3"/>
      <c r="P716" s="4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6.5" customHeight="1" x14ac:dyDescent="0.3">
      <c r="A717" s="4"/>
      <c r="B717" s="4"/>
      <c r="C717" s="4"/>
      <c r="D717" s="3"/>
      <c r="E717" s="4"/>
      <c r="F717" s="4"/>
      <c r="G717" s="4"/>
      <c r="H717" s="4"/>
      <c r="I717" s="3"/>
      <c r="J717" s="3"/>
      <c r="K717" s="3"/>
      <c r="L717" s="4"/>
      <c r="M717" s="4"/>
      <c r="N717" s="4"/>
      <c r="O717" s="3"/>
      <c r="P717" s="4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6.5" customHeight="1" x14ac:dyDescent="0.3">
      <c r="A718" s="4"/>
      <c r="B718" s="4"/>
      <c r="C718" s="4"/>
      <c r="D718" s="3"/>
      <c r="E718" s="4"/>
      <c r="F718" s="4"/>
      <c r="G718" s="4"/>
      <c r="H718" s="4"/>
      <c r="I718" s="3"/>
      <c r="J718" s="3"/>
      <c r="K718" s="3"/>
      <c r="L718" s="4"/>
      <c r="M718" s="4"/>
      <c r="N718" s="4"/>
      <c r="O718" s="3"/>
      <c r="P718" s="4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6.5" customHeight="1" x14ac:dyDescent="0.3">
      <c r="A719" s="4"/>
      <c r="B719" s="4"/>
      <c r="C719" s="4"/>
      <c r="D719" s="3"/>
      <c r="E719" s="4"/>
      <c r="F719" s="4"/>
      <c r="G719" s="4"/>
      <c r="H719" s="4"/>
      <c r="I719" s="3"/>
      <c r="J719" s="3"/>
      <c r="K719" s="3"/>
      <c r="L719" s="4"/>
      <c r="M719" s="4"/>
      <c r="N719" s="4"/>
      <c r="O719" s="3"/>
      <c r="P719" s="4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6.5" customHeight="1" x14ac:dyDescent="0.3">
      <c r="A720" s="4"/>
      <c r="B720" s="4"/>
      <c r="C720" s="4"/>
      <c r="D720" s="3"/>
      <c r="E720" s="4"/>
      <c r="F720" s="4"/>
      <c r="G720" s="4"/>
      <c r="H720" s="4"/>
      <c r="I720" s="3"/>
      <c r="J720" s="3"/>
      <c r="K720" s="3"/>
      <c r="L720" s="4"/>
      <c r="M720" s="4"/>
      <c r="N720" s="4"/>
      <c r="O720" s="3"/>
      <c r="P720" s="4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6.5" customHeight="1" x14ac:dyDescent="0.3">
      <c r="A721" s="4"/>
      <c r="B721" s="4"/>
      <c r="C721" s="4"/>
      <c r="D721" s="3"/>
      <c r="E721" s="4"/>
      <c r="F721" s="4"/>
      <c r="G721" s="4"/>
      <c r="H721" s="4"/>
      <c r="I721" s="3"/>
      <c r="J721" s="3"/>
      <c r="K721" s="3"/>
      <c r="L721" s="4"/>
      <c r="M721" s="4"/>
      <c r="N721" s="4"/>
      <c r="O721" s="3"/>
      <c r="P721" s="4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6.5" customHeight="1" x14ac:dyDescent="0.3">
      <c r="A722" s="4"/>
      <c r="B722" s="4"/>
      <c r="C722" s="4"/>
      <c r="D722" s="3"/>
      <c r="E722" s="4"/>
      <c r="F722" s="4"/>
      <c r="G722" s="4"/>
      <c r="H722" s="4"/>
      <c r="I722" s="3"/>
      <c r="J722" s="3"/>
      <c r="K722" s="3"/>
      <c r="L722" s="4"/>
      <c r="M722" s="4"/>
      <c r="N722" s="4"/>
      <c r="O722" s="3"/>
      <c r="P722" s="4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6.5" customHeight="1" x14ac:dyDescent="0.3">
      <c r="A723" s="4"/>
      <c r="B723" s="4"/>
      <c r="C723" s="4"/>
      <c r="D723" s="3"/>
      <c r="E723" s="4"/>
      <c r="F723" s="4"/>
      <c r="G723" s="4"/>
      <c r="H723" s="4"/>
      <c r="I723" s="3"/>
      <c r="J723" s="3"/>
      <c r="K723" s="3"/>
      <c r="L723" s="4"/>
      <c r="M723" s="4"/>
      <c r="N723" s="4"/>
      <c r="O723" s="3"/>
      <c r="P723" s="4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6.5" customHeight="1" x14ac:dyDescent="0.3">
      <c r="A724" s="4"/>
      <c r="B724" s="4"/>
      <c r="C724" s="4"/>
      <c r="D724" s="3"/>
      <c r="E724" s="4"/>
      <c r="F724" s="4"/>
      <c r="G724" s="4"/>
      <c r="H724" s="4"/>
      <c r="I724" s="3"/>
      <c r="J724" s="3"/>
      <c r="K724" s="3"/>
      <c r="L724" s="4"/>
      <c r="M724" s="4"/>
      <c r="N724" s="4"/>
      <c r="O724" s="3"/>
      <c r="P724" s="4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6.5" customHeight="1" x14ac:dyDescent="0.3">
      <c r="A725" s="4"/>
      <c r="B725" s="4"/>
      <c r="C725" s="4"/>
      <c r="D725" s="3"/>
      <c r="E725" s="4"/>
      <c r="F725" s="4"/>
      <c r="G725" s="4"/>
      <c r="H725" s="4"/>
      <c r="I725" s="3"/>
      <c r="J725" s="3"/>
      <c r="K725" s="3"/>
      <c r="L725" s="4"/>
      <c r="M725" s="4"/>
      <c r="N725" s="4"/>
      <c r="O725" s="3"/>
      <c r="P725" s="4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6.5" customHeight="1" x14ac:dyDescent="0.3">
      <c r="A726" s="4"/>
      <c r="B726" s="4"/>
      <c r="C726" s="4"/>
      <c r="D726" s="3"/>
      <c r="E726" s="4"/>
      <c r="F726" s="4"/>
      <c r="G726" s="4"/>
      <c r="H726" s="4"/>
      <c r="I726" s="3"/>
      <c r="J726" s="3"/>
      <c r="K726" s="3"/>
      <c r="L726" s="4"/>
      <c r="M726" s="4"/>
      <c r="N726" s="4"/>
      <c r="O726" s="3"/>
      <c r="P726" s="4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6.5" customHeight="1" x14ac:dyDescent="0.3">
      <c r="A727" s="4"/>
      <c r="B727" s="4"/>
      <c r="C727" s="4"/>
      <c r="D727" s="3"/>
      <c r="E727" s="4"/>
      <c r="F727" s="4"/>
      <c r="G727" s="4"/>
      <c r="H727" s="4"/>
      <c r="I727" s="3"/>
      <c r="J727" s="3"/>
      <c r="K727" s="3"/>
      <c r="L727" s="4"/>
      <c r="M727" s="4"/>
      <c r="N727" s="4"/>
      <c r="O727" s="3"/>
      <c r="P727" s="4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6.5" customHeight="1" x14ac:dyDescent="0.3">
      <c r="A728" s="4"/>
      <c r="B728" s="4"/>
      <c r="C728" s="4"/>
      <c r="D728" s="3"/>
      <c r="E728" s="4"/>
      <c r="F728" s="4"/>
      <c r="G728" s="4"/>
      <c r="H728" s="4"/>
      <c r="I728" s="3"/>
      <c r="J728" s="3"/>
      <c r="K728" s="3"/>
      <c r="L728" s="4"/>
      <c r="M728" s="4"/>
      <c r="N728" s="4"/>
      <c r="O728" s="3"/>
      <c r="P728" s="4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6.5" customHeight="1" x14ac:dyDescent="0.3">
      <c r="A729" s="4"/>
      <c r="B729" s="4"/>
      <c r="C729" s="4"/>
      <c r="D729" s="3"/>
      <c r="E729" s="4"/>
      <c r="F729" s="4"/>
      <c r="G729" s="4"/>
      <c r="H729" s="4"/>
      <c r="I729" s="3"/>
      <c r="J729" s="3"/>
      <c r="K729" s="3"/>
      <c r="L729" s="4"/>
      <c r="M729" s="4"/>
      <c r="N729" s="4"/>
      <c r="O729" s="3"/>
      <c r="P729" s="4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6.5" customHeight="1" x14ac:dyDescent="0.3">
      <c r="A730" s="4"/>
      <c r="B730" s="4"/>
      <c r="C730" s="4"/>
      <c r="D730" s="3"/>
      <c r="E730" s="4"/>
      <c r="F730" s="4"/>
      <c r="G730" s="4"/>
      <c r="H730" s="4"/>
      <c r="I730" s="3"/>
      <c r="J730" s="3"/>
      <c r="K730" s="3"/>
      <c r="L730" s="4"/>
      <c r="M730" s="4"/>
      <c r="N730" s="4"/>
      <c r="O730" s="3"/>
      <c r="P730" s="4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6.5" customHeight="1" x14ac:dyDescent="0.3">
      <c r="A731" s="4"/>
      <c r="B731" s="4"/>
      <c r="C731" s="4"/>
      <c r="D731" s="3"/>
      <c r="E731" s="4"/>
      <c r="F731" s="4"/>
      <c r="G731" s="4"/>
      <c r="H731" s="4"/>
      <c r="I731" s="3"/>
      <c r="J731" s="3"/>
      <c r="K731" s="3"/>
      <c r="L731" s="4"/>
      <c r="M731" s="4"/>
      <c r="N731" s="4"/>
      <c r="O731" s="3"/>
      <c r="P731" s="4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6.5" customHeight="1" x14ac:dyDescent="0.3">
      <c r="A732" s="4"/>
      <c r="B732" s="4"/>
      <c r="C732" s="4"/>
      <c r="D732" s="3"/>
      <c r="E732" s="4"/>
      <c r="F732" s="4"/>
      <c r="G732" s="4"/>
      <c r="H732" s="4"/>
      <c r="I732" s="3"/>
      <c r="J732" s="3"/>
      <c r="K732" s="3"/>
      <c r="L732" s="4"/>
      <c r="M732" s="4"/>
      <c r="N732" s="4"/>
      <c r="O732" s="3"/>
      <c r="P732" s="4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6.5" customHeight="1" x14ac:dyDescent="0.3">
      <c r="A733" s="4"/>
      <c r="B733" s="4"/>
      <c r="C733" s="4"/>
      <c r="D733" s="3"/>
      <c r="E733" s="4"/>
      <c r="F733" s="4"/>
      <c r="G733" s="4"/>
      <c r="H733" s="4"/>
      <c r="I733" s="3"/>
      <c r="J733" s="3"/>
      <c r="K733" s="3"/>
      <c r="L733" s="4"/>
      <c r="M733" s="4"/>
      <c r="N733" s="4"/>
      <c r="O733" s="3"/>
      <c r="P733" s="4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6.5" customHeight="1" x14ac:dyDescent="0.3">
      <c r="A734" s="4"/>
      <c r="B734" s="4"/>
      <c r="C734" s="4"/>
      <c r="D734" s="3"/>
      <c r="E734" s="4"/>
      <c r="F734" s="4"/>
      <c r="G734" s="4"/>
      <c r="H734" s="4"/>
      <c r="I734" s="3"/>
      <c r="J734" s="3"/>
      <c r="K734" s="3"/>
      <c r="L734" s="4"/>
      <c r="M734" s="4"/>
      <c r="N734" s="4"/>
      <c r="O734" s="3"/>
      <c r="P734" s="4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6.5" customHeight="1" x14ac:dyDescent="0.3">
      <c r="A735" s="4"/>
      <c r="B735" s="4"/>
      <c r="C735" s="4"/>
      <c r="D735" s="3"/>
      <c r="E735" s="4"/>
      <c r="F735" s="4"/>
      <c r="G735" s="4"/>
      <c r="H735" s="4"/>
      <c r="I735" s="3"/>
      <c r="J735" s="3"/>
      <c r="K735" s="3"/>
      <c r="L735" s="4"/>
      <c r="M735" s="4"/>
      <c r="N735" s="4"/>
      <c r="O735" s="3"/>
      <c r="P735" s="4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6.5" customHeight="1" x14ac:dyDescent="0.3">
      <c r="A736" s="4"/>
      <c r="B736" s="4"/>
      <c r="C736" s="4"/>
      <c r="D736" s="3"/>
      <c r="E736" s="4"/>
      <c r="F736" s="4"/>
      <c r="G736" s="4"/>
      <c r="H736" s="4"/>
      <c r="I736" s="3"/>
      <c r="J736" s="3"/>
      <c r="K736" s="3"/>
      <c r="L736" s="4"/>
      <c r="M736" s="4"/>
      <c r="N736" s="4"/>
      <c r="O736" s="3"/>
      <c r="P736" s="4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6.5" customHeight="1" x14ac:dyDescent="0.3">
      <c r="A737" s="4"/>
      <c r="B737" s="4"/>
      <c r="C737" s="4"/>
      <c r="D737" s="3"/>
      <c r="E737" s="4"/>
      <c r="F737" s="4"/>
      <c r="G737" s="4"/>
      <c r="H737" s="4"/>
      <c r="I737" s="3"/>
      <c r="J737" s="3"/>
      <c r="K737" s="3"/>
      <c r="L737" s="4"/>
      <c r="M737" s="4"/>
      <c r="N737" s="4"/>
      <c r="O737" s="3"/>
      <c r="P737" s="4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6.5" customHeight="1" x14ac:dyDescent="0.3">
      <c r="A738" s="4"/>
      <c r="B738" s="4"/>
      <c r="C738" s="4"/>
      <c r="D738" s="3"/>
      <c r="E738" s="4"/>
      <c r="F738" s="4"/>
      <c r="G738" s="4"/>
      <c r="H738" s="4"/>
      <c r="I738" s="3"/>
      <c r="J738" s="3"/>
      <c r="K738" s="3"/>
      <c r="L738" s="4"/>
      <c r="M738" s="4"/>
      <c r="N738" s="4"/>
      <c r="O738" s="3"/>
      <c r="P738" s="4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6.5" customHeight="1" x14ac:dyDescent="0.3">
      <c r="A739" s="4"/>
      <c r="B739" s="4"/>
      <c r="C739" s="4"/>
      <c r="D739" s="3"/>
      <c r="E739" s="4"/>
      <c r="F739" s="4"/>
      <c r="G739" s="4"/>
      <c r="H739" s="4"/>
      <c r="I739" s="3"/>
      <c r="J739" s="3"/>
      <c r="K739" s="3"/>
      <c r="L739" s="4"/>
      <c r="M739" s="4"/>
      <c r="N739" s="4"/>
      <c r="O739" s="3"/>
      <c r="P739" s="4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6.5" customHeight="1" x14ac:dyDescent="0.3">
      <c r="A740" s="4"/>
      <c r="B740" s="4"/>
      <c r="C740" s="4"/>
      <c r="D740" s="3"/>
      <c r="E740" s="4"/>
      <c r="F740" s="4"/>
      <c r="G740" s="4"/>
      <c r="H740" s="4"/>
      <c r="I740" s="3"/>
      <c r="J740" s="3"/>
      <c r="K740" s="3"/>
      <c r="L740" s="4"/>
      <c r="M740" s="4"/>
      <c r="N740" s="4"/>
      <c r="O740" s="3"/>
      <c r="P740" s="4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6.5" customHeight="1" x14ac:dyDescent="0.3">
      <c r="A741" s="4"/>
      <c r="B741" s="4"/>
      <c r="C741" s="4"/>
      <c r="D741" s="3"/>
      <c r="E741" s="4"/>
      <c r="F741" s="4"/>
      <c r="G741" s="4"/>
      <c r="H741" s="4"/>
      <c r="I741" s="3"/>
      <c r="J741" s="3"/>
      <c r="K741" s="3"/>
      <c r="L741" s="4"/>
      <c r="M741" s="4"/>
      <c r="N741" s="4"/>
      <c r="O741" s="3"/>
      <c r="P741" s="4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6.5" customHeight="1" x14ac:dyDescent="0.3">
      <c r="A742" s="4"/>
      <c r="B742" s="4"/>
      <c r="C742" s="4"/>
      <c r="D742" s="3"/>
      <c r="E742" s="4"/>
      <c r="F742" s="4"/>
      <c r="G742" s="4"/>
      <c r="H742" s="4"/>
      <c r="I742" s="3"/>
      <c r="J742" s="3"/>
      <c r="K742" s="3"/>
      <c r="L742" s="4"/>
      <c r="M742" s="4"/>
      <c r="N742" s="4"/>
      <c r="O742" s="3"/>
      <c r="P742" s="4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6.5" customHeight="1" x14ac:dyDescent="0.3">
      <c r="A743" s="4"/>
      <c r="B743" s="4"/>
      <c r="C743" s="4"/>
      <c r="D743" s="3"/>
      <c r="E743" s="4"/>
      <c r="F743" s="4"/>
      <c r="G743" s="4"/>
      <c r="H743" s="4"/>
      <c r="I743" s="3"/>
      <c r="J743" s="3"/>
      <c r="K743" s="3"/>
      <c r="L743" s="4"/>
      <c r="M743" s="4"/>
      <c r="N743" s="4"/>
      <c r="O743" s="3"/>
      <c r="P743" s="4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6.5" customHeight="1" x14ac:dyDescent="0.3">
      <c r="A744" s="4"/>
      <c r="B744" s="4"/>
      <c r="C744" s="4"/>
      <c r="D744" s="3"/>
      <c r="E744" s="4"/>
      <c r="F744" s="4"/>
      <c r="G744" s="4"/>
      <c r="H744" s="4"/>
      <c r="I744" s="3"/>
      <c r="J744" s="3"/>
      <c r="K744" s="3"/>
      <c r="L744" s="4"/>
      <c r="M744" s="4"/>
      <c r="N744" s="4"/>
      <c r="O744" s="3"/>
      <c r="P744" s="4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6.5" customHeight="1" x14ac:dyDescent="0.3">
      <c r="A745" s="4"/>
      <c r="B745" s="4"/>
      <c r="C745" s="4"/>
      <c r="D745" s="3"/>
      <c r="E745" s="4"/>
      <c r="F745" s="4"/>
      <c r="G745" s="4"/>
      <c r="H745" s="4"/>
      <c r="I745" s="3"/>
      <c r="J745" s="3"/>
      <c r="K745" s="3"/>
      <c r="L745" s="4"/>
      <c r="M745" s="4"/>
      <c r="N745" s="4"/>
      <c r="O745" s="3"/>
      <c r="P745" s="4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6.5" customHeight="1" x14ac:dyDescent="0.3">
      <c r="A746" s="4"/>
      <c r="B746" s="4"/>
      <c r="C746" s="4"/>
      <c r="D746" s="3"/>
      <c r="E746" s="4"/>
      <c r="F746" s="4"/>
      <c r="G746" s="4"/>
      <c r="H746" s="4"/>
      <c r="I746" s="3"/>
      <c r="J746" s="3"/>
      <c r="K746" s="3"/>
      <c r="L746" s="4"/>
      <c r="M746" s="4"/>
      <c r="N746" s="4"/>
      <c r="O746" s="3"/>
      <c r="P746" s="4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6.5" customHeight="1" x14ac:dyDescent="0.3">
      <c r="A747" s="4"/>
      <c r="B747" s="4"/>
      <c r="C747" s="4"/>
      <c r="D747" s="3"/>
      <c r="E747" s="4"/>
      <c r="F747" s="4"/>
      <c r="G747" s="4"/>
      <c r="H747" s="4"/>
      <c r="I747" s="3"/>
      <c r="J747" s="3"/>
      <c r="K747" s="3"/>
      <c r="L747" s="4"/>
      <c r="M747" s="4"/>
      <c r="N747" s="4"/>
      <c r="O747" s="3"/>
      <c r="P747" s="4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6.5" customHeight="1" x14ac:dyDescent="0.3">
      <c r="A748" s="4"/>
      <c r="B748" s="4"/>
      <c r="C748" s="4"/>
      <c r="D748" s="3"/>
      <c r="E748" s="4"/>
      <c r="F748" s="4"/>
      <c r="G748" s="4"/>
      <c r="H748" s="4"/>
      <c r="I748" s="3"/>
      <c r="J748" s="3"/>
      <c r="K748" s="3"/>
      <c r="L748" s="4"/>
      <c r="M748" s="4"/>
      <c r="N748" s="4"/>
      <c r="O748" s="3"/>
      <c r="P748" s="4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6.5" customHeight="1" x14ac:dyDescent="0.3">
      <c r="A749" s="4"/>
      <c r="B749" s="4"/>
      <c r="C749" s="4"/>
      <c r="D749" s="3"/>
      <c r="E749" s="4"/>
      <c r="F749" s="4"/>
      <c r="G749" s="4"/>
      <c r="H749" s="4"/>
      <c r="I749" s="3"/>
      <c r="J749" s="3"/>
      <c r="K749" s="3"/>
      <c r="L749" s="4"/>
      <c r="M749" s="4"/>
      <c r="N749" s="4"/>
      <c r="O749" s="3"/>
      <c r="P749" s="4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6.5" customHeight="1" x14ac:dyDescent="0.3">
      <c r="A750" s="4"/>
      <c r="B750" s="4"/>
      <c r="C750" s="4"/>
      <c r="D750" s="3"/>
      <c r="E750" s="4"/>
      <c r="F750" s="4"/>
      <c r="G750" s="4"/>
      <c r="H750" s="4"/>
      <c r="I750" s="3"/>
      <c r="J750" s="3"/>
      <c r="K750" s="3"/>
      <c r="L750" s="4"/>
      <c r="M750" s="4"/>
      <c r="N750" s="4"/>
      <c r="O750" s="3"/>
      <c r="P750" s="4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6.5" customHeight="1" x14ac:dyDescent="0.3">
      <c r="A751" s="4"/>
      <c r="B751" s="4"/>
      <c r="C751" s="4"/>
      <c r="D751" s="3"/>
      <c r="E751" s="4"/>
      <c r="F751" s="4"/>
      <c r="G751" s="4"/>
      <c r="H751" s="4"/>
      <c r="I751" s="3"/>
      <c r="J751" s="3"/>
      <c r="K751" s="3"/>
      <c r="L751" s="4"/>
      <c r="M751" s="4"/>
      <c r="N751" s="4"/>
      <c r="O751" s="3"/>
      <c r="P751" s="4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6.5" customHeight="1" x14ac:dyDescent="0.3">
      <c r="A752" s="4"/>
      <c r="B752" s="4"/>
      <c r="C752" s="4"/>
      <c r="D752" s="3"/>
      <c r="E752" s="4"/>
      <c r="F752" s="4"/>
      <c r="G752" s="4"/>
      <c r="H752" s="4"/>
      <c r="I752" s="3"/>
      <c r="J752" s="3"/>
      <c r="K752" s="3"/>
      <c r="L752" s="4"/>
      <c r="M752" s="4"/>
      <c r="N752" s="4"/>
      <c r="O752" s="3"/>
      <c r="P752" s="4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6.5" customHeight="1" x14ac:dyDescent="0.3">
      <c r="A753" s="4"/>
      <c r="B753" s="4"/>
      <c r="C753" s="4"/>
      <c r="D753" s="3"/>
      <c r="E753" s="4"/>
      <c r="F753" s="4"/>
      <c r="G753" s="4"/>
      <c r="H753" s="4"/>
      <c r="I753" s="3"/>
      <c r="J753" s="3"/>
      <c r="K753" s="3"/>
      <c r="L753" s="4"/>
      <c r="M753" s="4"/>
      <c r="N753" s="4"/>
      <c r="O753" s="3"/>
      <c r="P753" s="4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6.5" customHeight="1" x14ac:dyDescent="0.3">
      <c r="A754" s="4"/>
      <c r="B754" s="4"/>
      <c r="C754" s="4"/>
      <c r="D754" s="3"/>
      <c r="E754" s="4"/>
      <c r="F754" s="4"/>
      <c r="G754" s="4"/>
      <c r="H754" s="4"/>
      <c r="I754" s="3"/>
      <c r="J754" s="3"/>
      <c r="K754" s="3"/>
      <c r="L754" s="4"/>
      <c r="M754" s="4"/>
      <c r="N754" s="4"/>
      <c r="O754" s="3"/>
      <c r="P754" s="4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6.5" customHeight="1" x14ac:dyDescent="0.3">
      <c r="A755" s="4"/>
      <c r="B755" s="4"/>
      <c r="C755" s="4"/>
      <c r="D755" s="3"/>
      <c r="E755" s="4"/>
      <c r="F755" s="4"/>
      <c r="G755" s="4"/>
      <c r="H755" s="4"/>
      <c r="I755" s="3"/>
      <c r="J755" s="3"/>
      <c r="K755" s="3"/>
      <c r="L755" s="4"/>
      <c r="M755" s="4"/>
      <c r="N755" s="4"/>
      <c r="O755" s="3"/>
      <c r="P755" s="4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6.5" customHeight="1" x14ac:dyDescent="0.3">
      <c r="A756" s="4"/>
      <c r="B756" s="4"/>
      <c r="C756" s="4"/>
      <c r="D756" s="3"/>
      <c r="E756" s="4"/>
      <c r="F756" s="4"/>
      <c r="G756" s="4"/>
      <c r="H756" s="4"/>
      <c r="I756" s="3"/>
      <c r="J756" s="3"/>
      <c r="K756" s="3"/>
      <c r="L756" s="4"/>
      <c r="M756" s="4"/>
      <c r="N756" s="4"/>
      <c r="O756" s="3"/>
      <c r="P756" s="4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6.5" customHeight="1" x14ac:dyDescent="0.3">
      <c r="A757" s="4"/>
      <c r="B757" s="4"/>
      <c r="C757" s="4"/>
      <c r="D757" s="3"/>
      <c r="E757" s="4"/>
      <c r="F757" s="4"/>
      <c r="G757" s="4"/>
      <c r="H757" s="4"/>
      <c r="I757" s="3"/>
      <c r="J757" s="3"/>
      <c r="K757" s="3"/>
      <c r="L757" s="4"/>
      <c r="M757" s="4"/>
      <c r="N757" s="4"/>
      <c r="O757" s="3"/>
      <c r="P757" s="4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6.5" customHeight="1" x14ac:dyDescent="0.3">
      <c r="A758" s="4"/>
      <c r="B758" s="4"/>
      <c r="C758" s="4"/>
      <c r="D758" s="3"/>
      <c r="E758" s="4"/>
      <c r="F758" s="4"/>
      <c r="G758" s="4"/>
      <c r="H758" s="4"/>
      <c r="I758" s="3"/>
      <c r="J758" s="3"/>
      <c r="K758" s="3"/>
      <c r="L758" s="4"/>
      <c r="M758" s="4"/>
      <c r="N758" s="4"/>
      <c r="O758" s="3"/>
      <c r="P758" s="4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6.5" customHeight="1" x14ac:dyDescent="0.3">
      <c r="A759" s="4"/>
      <c r="B759" s="4"/>
      <c r="C759" s="4"/>
      <c r="D759" s="3"/>
      <c r="E759" s="4"/>
      <c r="F759" s="4"/>
      <c r="G759" s="4"/>
      <c r="H759" s="4"/>
      <c r="I759" s="3"/>
      <c r="J759" s="3"/>
      <c r="K759" s="3"/>
      <c r="L759" s="4"/>
      <c r="M759" s="4"/>
      <c r="N759" s="4"/>
      <c r="O759" s="3"/>
      <c r="P759" s="4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6.5" customHeight="1" x14ac:dyDescent="0.3">
      <c r="A760" s="4"/>
      <c r="B760" s="4"/>
      <c r="C760" s="4"/>
      <c r="D760" s="3"/>
      <c r="E760" s="4"/>
      <c r="F760" s="4"/>
      <c r="G760" s="4"/>
      <c r="H760" s="4"/>
      <c r="I760" s="3"/>
      <c r="J760" s="3"/>
      <c r="K760" s="3"/>
      <c r="L760" s="4"/>
      <c r="M760" s="4"/>
      <c r="N760" s="4"/>
      <c r="O760" s="3"/>
      <c r="P760" s="4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6.5" customHeight="1" x14ac:dyDescent="0.3">
      <c r="A761" s="4"/>
      <c r="B761" s="4"/>
      <c r="C761" s="4"/>
      <c r="D761" s="3"/>
      <c r="E761" s="4"/>
      <c r="F761" s="4"/>
      <c r="G761" s="4"/>
      <c r="H761" s="4"/>
      <c r="I761" s="3"/>
      <c r="J761" s="3"/>
      <c r="K761" s="3"/>
      <c r="L761" s="4"/>
      <c r="M761" s="4"/>
      <c r="N761" s="4"/>
      <c r="O761" s="3"/>
      <c r="P761" s="4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6.5" customHeight="1" x14ac:dyDescent="0.3">
      <c r="A762" s="4"/>
      <c r="B762" s="4"/>
      <c r="C762" s="4"/>
      <c r="D762" s="3"/>
      <c r="E762" s="4"/>
      <c r="F762" s="4"/>
      <c r="G762" s="4"/>
      <c r="H762" s="4"/>
      <c r="I762" s="3"/>
      <c r="J762" s="3"/>
      <c r="K762" s="3"/>
      <c r="L762" s="4"/>
      <c r="M762" s="4"/>
      <c r="N762" s="4"/>
      <c r="O762" s="3"/>
      <c r="P762" s="4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6.5" customHeight="1" x14ac:dyDescent="0.3">
      <c r="A763" s="4"/>
      <c r="B763" s="4"/>
      <c r="C763" s="4"/>
      <c r="D763" s="3"/>
      <c r="E763" s="4"/>
      <c r="F763" s="4"/>
      <c r="G763" s="4"/>
      <c r="H763" s="4"/>
      <c r="I763" s="3"/>
      <c r="J763" s="3"/>
      <c r="K763" s="3"/>
      <c r="L763" s="4"/>
      <c r="M763" s="4"/>
      <c r="N763" s="4"/>
      <c r="O763" s="3"/>
      <c r="P763" s="4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6.5" customHeight="1" x14ac:dyDescent="0.3">
      <c r="A764" s="4"/>
      <c r="B764" s="4"/>
      <c r="C764" s="4"/>
      <c r="D764" s="3"/>
      <c r="E764" s="4"/>
      <c r="F764" s="4"/>
      <c r="G764" s="4"/>
      <c r="H764" s="4"/>
      <c r="I764" s="3"/>
      <c r="J764" s="3"/>
      <c r="K764" s="3"/>
      <c r="L764" s="4"/>
      <c r="M764" s="4"/>
      <c r="N764" s="4"/>
      <c r="O764" s="3"/>
      <c r="P764" s="4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6.5" customHeight="1" x14ac:dyDescent="0.3">
      <c r="A765" s="4"/>
      <c r="B765" s="4"/>
      <c r="C765" s="4"/>
      <c r="D765" s="3"/>
      <c r="E765" s="4"/>
      <c r="F765" s="4"/>
      <c r="G765" s="4"/>
      <c r="H765" s="4"/>
      <c r="I765" s="3"/>
      <c r="J765" s="3"/>
      <c r="K765" s="3"/>
      <c r="L765" s="4"/>
      <c r="M765" s="4"/>
      <c r="N765" s="4"/>
      <c r="O765" s="3"/>
      <c r="P765" s="4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6.5" customHeight="1" x14ac:dyDescent="0.3">
      <c r="A766" s="4"/>
      <c r="B766" s="4"/>
      <c r="C766" s="4"/>
      <c r="D766" s="3"/>
      <c r="E766" s="4"/>
      <c r="F766" s="4"/>
      <c r="G766" s="4"/>
      <c r="H766" s="4"/>
      <c r="I766" s="3"/>
      <c r="J766" s="3"/>
      <c r="K766" s="3"/>
      <c r="L766" s="4"/>
      <c r="M766" s="4"/>
      <c r="N766" s="4"/>
      <c r="O766" s="3"/>
      <c r="P766" s="4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6.5" customHeight="1" x14ac:dyDescent="0.3">
      <c r="A767" s="4"/>
      <c r="B767" s="4"/>
      <c r="C767" s="4"/>
      <c r="D767" s="3"/>
      <c r="E767" s="4"/>
      <c r="F767" s="4"/>
      <c r="G767" s="4"/>
      <c r="H767" s="4"/>
      <c r="I767" s="3"/>
      <c r="J767" s="3"/>
      <c r="K767" s="3"/>
      <c r="L767" s="4"/>
      <c r="M767" s="4"/>
      <c r="N767" s="4"/>
      <c r="O767" s="3"/>
      <c r="P767" s="4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6.5" customHeight="1" x14ac:dyDescent="0.3">
      <c r="A768" s="4"/>
      <c r="B768" s="4"/>
      <c r="C768" s="4"/>
      <c r="D768" s="3"/>
      <c r="E768" s="4"/>
      <c r="F768" s="4"/>
      <c r="G768" s="4"/>
      <c r="H768" s="4"/>
      <c r="I768" s="3"/>
      <c r="J768" s="3"/>
      <c r="K768" s="3"/>
      <c r="L768" s="4"/>
      <c r="M768" s="4"/>
      <c r="N768" s="4"/>
      <c r="O768" s="3"/>
      <c r="P768" s="4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6.5" customHeight="1" x14ac:dyDescent="0.3">
      <c r="A769" s="4"/>
      <c r="B769" s="4"/>
      <c r="C769" s="4"/>
      <c r="D769" s="3"/>
      <c r="E769" s="4"/>
      <c r="F769" s="4"/>
      <c r="G769" s="4"/>
      <c r="H769" s="4"/>
      <c r="I769" s="3"/>
      <c r="J769" s="3"/>
      <c r="K769" s="3"/>
      <c r="L769" s="4"/>
      <c r="M769" s="4"/>
      <c r="N769" s="4"/>
      <c r="O769" s="3"/>
      <c r="P769" s="4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6.5" customHeight="1" x14ac:dyDescent="0.3">
      <c r="A770" s="4"/>
      <c r="B770" s="4"/>
      <c r="C770" s="4"/>
      <c r="D770" s="3"/>
      <c r="E770" s="4"/>
      <c r="F770" s="4"/>
      <c r="G770" s="4"/>
      <c r="H770" s="4"/>
      <c r="I770" s="3"/>
      <c r="J770" s="3"/>
      <c r="K770" s="3"/>
      <c r="L770" s="4"/>
      <c r="M770" s="4"/>
      <c r="N770" s="4"/>
      <c r="O770" s="3"/>
      <c r="P770" s="4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6.5" customHeight="1" x14ac:dyDescent="0.3">
      <c r="A771" s="4"/>
      <c r="B771" s="4"/>
      <c r="C771" s="4"/>
      <c r="D771" s="3"/>
      <c r="E771" s="4"/>
      <c r="F771" s="4"/>
      <c r="G771" s="4"/>
      <c r="H771" s="4"/>
      <c r="I771" s="3"/>
      <c r="J771" s="3"/>
      <c r="K771" s="3"/>
      <c r="L771" s="4"/>
      <c r="M771" s="4"/>
      <c r="N771" s="4"/>
      <c r="O771" s="3"/>
      <c r="P771" s="4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6.5" customHeight="1" x14ac:dyDescent="0.3">
      <c r="A772" s="4"/>
      <c r="B772" s="4"/>
      <c r="C772" s="4"/>
      <c r="D772" s="3"/>
      <c r="E772" s="4"/>
      <c r="F772" s="4"/>
      <c r="G772" s="4"/>
      <c r="H772" s="4"/>
      <c r="I772" s="3"/>
      <c r="J772" s="3"/>
      <c r="K772" s="3"/>
      <c r="L772" s="4"/>
      <c r="M772" s="4"/>
      <c r="N772" s="4"/>
      <c r="O772" s="3"/>
      <c r="P772" s="4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6.5" customHeight="1" x14ac:dyDescent="0.3">
      <c r="A773" s="4"/>
      <c r="B773" s="4"/>
      <c r="C773" s="4"/>
      <c r="D773" s="3"/>
      <c r="E773" s="4"/>
      <c r="F773" s="4"/>
      <c r="G773" s="4"/>
      <c r="H773" s="4"/>
      <c r="I773" s="3"/>
      <c r="J773" s="3"/>
      <c r="K773" s="3"/>
      <c r="L773" s="4"/>
      <c r="M773" s="4"/>
      <c r="N773" s="4"/>
      <c r="O773" s="3"/>
      <c r="P773" s="4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6.5" customHeight="1" x14ac:dyDescent="0.3">
      <c r="A774" s="4"/>
      <c r="B774" s="4"/>
      <c r="C774" s="4"/>
      <c r="D774" s="3"/>
      <c r="E774" s="4"/>
      <c r="F774" s="4"/>
      <c r="G774" s="4"/>
      <c r="H774" s="4"/>
      <c r="I774" s="3"/>
      <c r="J774" s="3"/>
      <c r="K774" s="3"/>
      <c r="L774" s="4"/>
      <c r="M774" s="4"/>
      <c r="N774" s="4"/>
      <c r="O774" s="3"/>
      <c r="P774" s="4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6.5" customHeight="1" x14ac:dyDescent="0.3">
      <c r="A775" s="4"/>
      <c r="B775" s="4"/>
      <c r="C775" s="4"/>
      <c r="D775" s="3"/>
      <c r="E775" s="4"/>
      <c r="F775" s="4"/>
      <c r="G775" s="4"/>
      <c r="H775" s="4"/>
      <c r="I775" s="3"/>
      <c r="J775" s="3"/>
      <c r="K775" s="3"/>
      <c r="L775" s="4"/>
      <c r="M775" s="4"/>
      <c r="N775" s="4"/>
      <c r="O775" s="3"/>
      <c r="P775" s="4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6.5" customHeight="1" x14ac:dyDescent="0.3">
      <c r="A776" s="4"/>
      <c r="B776" s="4"/>
      <c r="C776" s="4"/>
      <c r="D776" s="3"/>
      <c r="E776" s="4"/>
      <c r="F776" s="4"/>
      <c r="G776" s="4"/>
      <c r="H776" s="4"/>
      <c r="I776" s="3"/>
      <c r="J776" s="3"/>
      <c r="K776" s="3"/>
      <c r="L776" s="4"/>
      <c r="M776" s="4"/>
      <c r="N776" s="4"/>
      <c r="O776" s="3"/>
      <c r="P776" s="4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6.5" customHeight="1" x14ac:dyDescent="0.3">
      <c r="A777" s="4"/>
      <c r="B777" s="4"/>
      <c r="C777" s="4"/>
      <c r="D777" s="3"/>
      <c r="E777" s="4"/>
      <c r="F777" s="4"/>
      <c r="G777" s="4"/>
      <c r="H777" s="4"/>
      <c r="I777" s="3"/>
      <c r="J777" s="3"/>
      <c r="K777" s="3"/>
      <c r="L777" s="4"/>
      <c r="M777" s="4"/>
      <c r="N777" s="4"/>
      <c r="O777" s="3"/>
      <c r="P777" s="4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6.5" customHeight="1" x14ac:dyDescent="0.3">
      <c r="A778" s="4"/>
      <c r="B778" s="4"/>
      <c r="C778" s="4"/>
      <c r="D778" s="3"/>
      <c r="E778" s="4"/>
      <c r="F778" s="4"/>
      <c r="G778" s="4"/>
      <c r="H778" s="4"/>
      <c r="I778" s="3"/>
      <c r="J778" s="3"/>
      <c r="K778" s="3"/>
      <c r="L778" s="4"/>
      <c r="M778" s="4"/>
      <c r="N778" s="4"/>
      <c r="O778" s="3"/>
      <c r="P778" s="4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6.5" customHeight="1" x14ac:dyDescent="0.3">
      <c r="A779" s="4"/>
      <c r="B779" s="4"/>
      <c r="C779" s="4"/>
      <c r="D779" s="3"/>
      <c r="E779" s="4"/>
      <c r="F779" s="4"/>
      <c r="G779" s="4"/>
      <c r="H779" s="4"/>
      <c r="I779" s="3"/>
      <c r="J779" s="3"/>
      <c r="K779" s="3"/>
      <c r="L779" s="4"/>
      <c r="M779" s="4"/>
      <c r="N779" s="4"/>
      <c r="O779" s="3"/>
      <c r="P779" s="4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6.5" customHeight="1" x14ac:dyDescent="0.3">
      <c r="A780" s="4"/>
      <c r="B780" s="4"/>
      <c r="C780" s="4"/>
      <c r="D780" s="3"/>
      <c r="E780" s="4"/>
      <c r="F780" s="4"/>
      <c r="G780" s="4"/>
      <c r="H780" s="4"/>
      <c r="I780" s="3"/>
      <c r="J780" s="3"/>
      <c r="K780" s="3"/>
      <c r="L780" s="4"/>
      <c r="M780" s="4"/>
      <c r="N780" s="4"/>
      <c r="O780" s="3"/>
      <c r="P780" s="4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6.5" customHeight="1" x14ac:dyDescent="0.3">
      <c r="A781" s="4"/>
      <c r="B781" s="4"/>
      <c r="C781" s="4"/>
      <c r="D781" s="3"/>
      <c r="E781" s="4"/>
      <c r="F781" s="4"/>
      <c r="G781" s="4"/>
      <c r="H781" s="4"/>
      <c r="I781" s="3"/>
      <c r="J781" s="3"/>
      <c r="K781" s="3"/>
      <c r="L781" s="4"/>
      <c r="M781" s="4"/>
      <c r="N781" s="4"/>
      <c r="O781" s="3"/>
      <c r="P781" s="4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6.5" customHeight="1" x14ac:dyDescent="0.3">
      <c r="A782" s="4"/>
      <c r="B782" s="4"/>
      <c r="C782" s="4"/>
      <c r="D782" s="3"/>
      <c r="E782" s="4"/>
      <c r="F782" s="4"/>
      <c r="G782" s="4"/>
      <c r="H782" s="4"/>
      <c r="I782" s="3"/>
      <c r="J782" s="3"/>
      <c r="K782" s="3"/>
      <c r="L782" s="4"/>
      <c r="M782" s="4"/>
      <c r="N782" s="4"/>
      <c r="O782" s="3"/>
      <c r="P782" s="4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6.5" customHeight="1" x14ac:dyDescent="0.3">
      <c r="A783" s="4"/>
      <c r="B783" s="4"/>
      <c r="C783" s="4"/>
      <c r="D783" s="3"/>
      <c r="E783" s="4"/>
      <c r="F783" s="4"/>
      <c r="G783" s="4"/>
      <c r="H783" s="4"/>
      <c r="I783" s="3"/>
      <c r="J783" s="3"/>
      <c r="K783" s="3"/>
      <c r="L783" s="4"/>
      <c r="M783" s="4"/>
      <c r="N783" s="4"/>
      <c r="O783" s="3"/>
      <c r="P783" s="4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6.5" customHeight="1" x14ac:dyDescent="0.3">
      <c r="A784" s="4"/>
      <c r="B784" s="4"/>
      <c r="C784" s="4"/>
      <c r="D784" s="3"/>
      <c r="E784" s="4"/>
      <c r="F784" s="4"/>
      <c r="G784" s="4"/>
      <c r="H784" s="4"/>
      <c r="I784" s="3"/>
      <c r="J784" s="3"/>
      <c r="K784" s="3"/>
      <c r="L784" s="4"/>
      <c r="M784" s="4"/>
      <c r="N784" s="4"/>
      <c r="O784" s="3"/>
      <c r="P784" s="4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6.5" customHeight="1" x14ac:dyDescent="0.3">
      <c r="A785" s="4"/>
      <c r="B785" s="4"/>
      <c r="C785" s="4"/>
      <c r="D785" s="3"/>
      <c r="E785" s="4"/>
      <c r="F785" s="4"/>
      <c r="G785" s="4"/>
      <c r="H785" s="4"/>
      <c r="I785" s="3"/>
      <c r="J785" s="3"/>
      <c r="K785" s="3"/>
      <c r="L785" s="4"/>
      <c r="M785" s="4"/>
      <c r="N785" s="4"/>
      <c r="O785" s="3"/>
      <c r="P785" s="4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6.5" customHeight="1" x14ac:dyDescent="0.3">
      <c r="A786" s="4"/>
      <c r="B786" s="4"/>
      <c r="C786" s="4"/>
      <c r="D786" s="3"/>
      <c r="E786" s="4"/>
      <c r="F786" s="4"/>
      <c r="G786" s="4"/>
      <c r="H786" s="4"/>
      <c r="I786" s="3"/>
      <c r="J786" s="3"/>
      <c r="K786" s="3"/>
      <c r="L786" s="4"/>
      <c r="M786" s="4"/>
      <c r="N786" s="4"/>
      <c r="O786" s="3"/>
      <c r="P786" s="4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6.5" customHeight="1" x14ac:dyDescent="0.3">
      <c r="A787" s="4"/>
      <c r="B787" s="4"/>
      <c r="C787" s="4"/>
      <c r="D787" s="3"/>
      <c r="E787" s="4"/>
      <c r="F787" s="4"/>
      <c r="G787" s="4"/>
      <c r="H787" s="4"/>
      <c r="I787" s="3"/>
      <c r="J787" s="3"/>
      <c r="K787" s="3"/>
      <c r="L787" s="4"/>
      <c r="M787" s="4"/>
      <c r="N787" s="4"/>
      <c r="O787" s="3"/>
      <c r="P787" s="4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6.5" customHeight="1" x14ac:dyDescent="0.3">
      <c r="A788" s="4"/>
      <c r="B788" s="4"/>
      <c r="C788" s="4"/>
      <c r="D788" s="3"/>
      <c r="E788" s="4"/>
      <c r="F788" s="4"/>
      <c r="G788" s="4"/>
      <c r="H788" s="4"/>
      <c r="I788" s="3"/>
      <c r="J788" s="3"/>
      <c r="K788" s="3"/>
      <c r="L788" s="4"/>
      <c r="M788" s="4"/>
      <c r="N788" s="4"/>
      <c r="O788" s="3"/>
      <c r="P788" s="4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6.5" customHeight="1" x14ac:dyDescent="0.3">
      <c r="A789" s="4"/>
      <c r="B789" s="4"/>
      <c r="C789" s="4"/>
      <c r="D789" s="3"/>
      <c r="E789" s="4"/>
      <c r="F789" s="4"/>
      <c r="G789" s="4"/>
      <c r="H789" s="4"/>
      <c r="I789" s="3"/>
      <c r="J789" s="3"/>
      <c r="K789" s="3"/>
      <c r="L789" s="4"/>
      <c r="M789" s="4"/>
      <c r="N789" s="4"/>
      <c r="O789" s="3"/>
      <c r="P789" s="4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6.5" customHeight="1" x14ac:dyDescent="0.3">
      <c r="A790" s="4"/>
      <c r="B790" s="4"/>
      <c r="C790" s="4"/>
      <c r="D790" s="3"/>
      <c r="E790" s="4"/>
      <c r="F790" s="4"/>
      <c r="G790" s="4"/>
      <c r="H790" s="4"/>
      <c r="I790" s="3"/>
      <c r="J790" s="3"/>
      <c r="K790" s="3"/>
      <c r="L790" s="4"/>
      <c r="M790" s="4"/>
      <c r="N790" s="4"/>
      <c r="O790" s="3"/>
      <c r="P790" s="4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6.5" customHeight="1" x14ac:dyDescent="0.3">
      <c r="A791" s="4"/>
      <c r="B791" s="4"/>
      <c r="C791" s="4"/>
      <c r="D791" s="3"/>
      <c r="E791" s="4"/>
      <c r="F791" s="4"/>
      <c r="G791" s="4"/>
      <c r="H791" s="4"/>
      <c r="I791" s="3"/>
      <c r="J791" s="3"/>
      <c r="K791" s="3"/>
      <c r="L791" s="4"/>
      <c r="M791" s="4"/>
      <c r="N791" s="4"/>
      <c r="O791" s="3"/>
      <c r="P791" s="4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6.5" customHeight="1" x14ac:dyDescent="0.3">
      <c r="A792" s="4"/>
      <c r="B792" s="4"/>
      <c r="C792" s="4"/>
      <c r="D792" s="3"/>
      <c r="E792" s="4"/>
      <c r="F792" s="4"/>
      <c r="G792" s="4"/>
      <c r="H792" s="4"/>
      <c r="I792" s="3"/>
      <c r="J792" s="3"/>
      <c r="K792" s="3"/>
      <c r="L792" s="4"/>
      <c r="M792" s="4"/>
      <c r="N792" s="4"/>
      <c r="O792" s="3"/>
      <c r="P792" s="4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6.5" customHeight="1" x14ac:dyDescent="0.3">
      <c r="A793" s="4"/>
      <c r="B793" s="4"/>
      <c r="C793" s="4"/>
      <c r="D793" s="3"/>
      <c r="E793" s="4"/>
      <c r="F793" s="4"/>
      <c r="G793" s="4"/>
      <c r="H793" s="4"/>
      <c r="I793" s="3"/>
      <c r="J793" s="3"/>
      <c r="K793" s="3"/>
      <c r="L793" s="4"/>
      <c r="M793" s="4"/>
      <c r="N793" s="4"/>
      <c r="O793" s="3"/>
      <c r="P793" s="4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6.5" customHeight="1" x14ac:dyDescent="0.3">
      <c r="A794" s="4"/>
      <c r="B794" s="4"/>
      <c r="C794" s="4"/>
      <c r="D794" s="3"/>
      <c r="E794" s="4"/>
      <c r="F794" s="4"/>
      <c r="G794" s="4"/>
      <c r="H794" s="4"/>
      <c r="I794" s="3"/>
      <c r="J794" s="3"/>
      <c r="K794" s="3"/>
      <c r="L794" s="4"/>
      <c r="M794" s="4"/>
      <c r="N794" s="4"/>
      <c r="O794" s="3"/>
      <c r="P794" s="4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6.5" customHeight="1" x14ac:dyDescent="0.3">
      <c r="A795" s="4"/>
      <c r="B795" s="4"/>
      <c r="C795" s="4"/>
      <c r="D795" s="3"/>
      <c r="E795" s="4"/>
      <c r="F795" s="4"/>
      <c r="G795" s="4"/>
      <c r="H795" s="4"/>
      <c r="I795" s="3"/>
      <c r="J795" s="3"/>
      <c r="K795" s="3"/>
      <c r="L795" s="4"/>
      <c r="M795" s="4"/>
      <c r="N795" s="4"/>
      <c r="O795" s="3"/>
      <c r="P795" s="4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6.5" customHeight="1" x14ac:dyDescent="0.3">
      <c r="A796" s="4"/>
      <c r="B796" s="4"/>
      <c r="C796" s="4"/>
      <c r="D796" s="3"/>
      <c r="E796" s="4"/>
      <c r="F796" s="4"/>
      <c r="G796" s="4"/>
      <c r="H796" s="4"/>
      <c r="I796" s="3"/>
      <c r="J796" s="3"/>
      <c r="K796" s="3"/>
      <c r="L796" s="4"/>
      <c r="M796" s="4"/>
      <c r="N796" s="4"/>
      <c r="O796" s="3"/>
      <c r="P796" s="4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6.5" customHeight="1" x14ac:dyDescent="0.3">
      <c r="A797" s="4"/>
      <c r="B797" s="4"/>
      <c r="C797" s="4"/>
      <c r="D797" s="3"/>
      <c r="E797" s="4"/>
      <c r="F797" s="4"/>
      <c r="G797" s="4"/>
      <c r="H797" s="4"/>
      <c r="I797" s="3"/>
      <c r="J797" s="3"/>
      <c r="K797" s="3"/>
      <c r="L797" s="4"/>
      <c r="M797" s="4"/>
      <c r="N797" s="4"/>
      <c r="O797" s="3"/>
      <c r="P797" s="4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6.5" customHeight="1" x14ac:dyDescent="0.3">
      <c r="A798" s="4"/>
      <c r="B798" s="4"/>
      <c r="C798" s="4"/>
      <c r="D798" s="3"/>
      <c r="E798" s="4"/>
      <c r="F798" s="4"/>
      <c r="G798" s="4"/>
      <c r="H798" s="4"/>
      <c r="I798" s="3"/>
      <c r="J798" s="3"/>
      <c r="K798" s="3"/>
      <c r="L798" s="4"/>
      <c r="M798" s="4"/>
      <c r="N798" s="4"/>
      <c r="O798" s="3"/>
      <c r="P798" s="4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6.5" customHeight="1" x14ac:dyDescent="0.3">
      <c r="A799" s="4"/>
      <c r="B799" s="4"/>
      <c r="C799" s="4"/>
      <c r="D799" s="3"/>
      <c r="E799" s="4"/>
      <c r="F799" s="4"/>
      <c r="G799" s="4"/>
      <c r="H799" s="4"/>
      <c r="I799" s="3"/>
      <c r="J799" s="3"/>
      <c r="K799" s="3"/>
      <c r="L799" s="4"/>
      <c r="M799" s="4"/>
      <c r="N799" s="4"/>
      <c r="O799" s="3"/>
      <c r="P799" s="4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6.5" customHeight="1" x14ac:dyDescent="0.3">
      <c r="A800" s="4"/>
      <c r="B800" s="4"/>
      <c r="C800" s="4"/>
      <c r="D800" s="3"/>
      <c r="E800" s="4"/>
      <c r="F800" s="4"/>
      <c r="G800" s="4"/>
      <c r="H800" s="4"/>
      <c r="I800" s="3"/>
      <c r="J800" s="3"/>
      <c r="K800" s="3"/>
      <c r="L800" s="4"/>
      <c r="M800" s="4"/>
      <c r="N800" s="4"/>
      <c r="O800" s="3"/>
      <c r="P800" s="4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6.5" customHeight="1" x14ac:dyDescent="0.3">
      <c r="A801" s="4"/>
      <c r="B801" s="4"/>
      <c r="C801" s="4"/>
      <c r="D801" s="3"/>
      <c r="E801" s="4"/>
      <c r="F801" s="4"/>
      <c r="G801" s="4"/>
      <c r="H801" s="4"/>
      <c r="I801" s="3"/>
      <c r="J801" s="3"/>
      <c r="K801" s="3"/>
      <c r="L801" s="4"/>
      <c r="M801" s="4"/>
      <c r="N801" s="4"/>
      <c r="O801" s="3"/>
      <c r="P801" s="4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6.5" customHeight="1" x14ac:dyDescent="0.3">
      <c r="A802" s="4"/>
      <c r="B802" s="4"/>
      <c r="C802" s="4"/>
      <c r="D802" s="3"/>
      <c r="E802" s="4"/>
      <c r="F802" s="4"/>
      <c r="G802" s="4"/>
      <c r="H802" s="4"/>
      <c r="I802" s="3"/>
      <c r="J802" s="3"/>
      <c r="K802" s="3"/>
      <c r="L802" s="4"/>
      <c r="M802" s="4"/>
      <c r="N802" s="4"/>
      <c r="O802" s="3"/>
      <c r="P802" s="4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6.5" customHeight="1" x14ac:dyDescent="0.3">
      <c r="A803" s="4"/>
      <c r="B803" s="4"/>
      <c r="C803" s="4"/>
      <c r="D803" s="3"/>
      <c r="E803" s="4"/>
      <c r="F803" s="4"/>
      <c r="G803" s="4"/>
      <c r="H803" s="4"/>
      <c r="I803" s="3"/>
      <c r="J803" s="3"/>
      <c r="K803" s="3"/>
      <c r="L803" s="4"/>
      <c r="M803" s="4"/>
      <c r="N803" s="4"/>
      <c r="O803" s="3"/>
      <c r="P803" s="4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6.5" customHeight="1" x14ac:dyDescent="0.3">
      <c r="A804" s="4"/>
      <c r="B804" s="4"/>
      <c r="C804" s="4"/>
      <c r="D804" s="3"/>
      <c r="E804" s="4"/>
      <c r="F804" s="4"/>
      <c r="G804" s="4"/>
      <c r="H804" s="4"/>
      <c r="I804" s="3"/>
      <c r="J804" s="3"/>
      <c r="K804" s="3"/>
      <c r="L804" s="4"/>
      <c r="M804" s="4"/>
      <c r="N804" s="4"/>
      <c r="O804" s="3"/>
      <c r="P804" s="4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6.5" customHeight="1" x14ac:dyDescent="0.3">
      <c r="A805" s="4"/>
      <c r="B805" s="4"/>
      <c r="C805" s="4"/>
      <c r="D805" s="3"/>
      <c r="E805" s="4"/>
      <c r="F805" s="4"/>
      <c r="G805" s="4"/>
      <c r="H805" s="4"/>
      <c r="I805" s="3"/>
      <c r="J805" s="3"/>
      <c r="K805" s="3"/>
      <c r="L805" s="4"/>
      <c r="M805" s="4"/>
      <c r="N805" s="4"/>
      <c r="O805" s="3"/>
      <c r="P805" s="4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6.5" customHeight="1" x14ac:dyDescent="0.3">
      <c r="A806" s="4"/>
      <c r="B806" s="4"/>
      <c r="C806" s="4"/>
      <c r="D806" s="3"/>
      <c r="E806" s="4"/>
      <c r="F806" s="4"/>
      <c r="G806" s="4"/>
      <c r="H806" s="4"/>
      <c r="I806" s="3"/>
      <c r="J806" s="3"/>
      <c r="K806" s="3"/>
      <c r="L806" s="4"/>
      <c r="M806" s="4"/>
      <c r="N806" s="4"/>
      <c r="O806" s="3"/>
      <c r="P806" s="4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6.5" customHeight="1" x14ac:dyDescent="0.3">
      <c r="A807" s="4"/>
      <c r="B807" s="4"/>
      <c r="C807" s="4"/>
      <c r="D807" s="3"/>
      <c r="E807" s="4"/>
      <c r="F807" s="4"/>
      <c r="G807" s="4"/>
      <c r="H807" s="4"/>
      <c r="I807" s="3"/>
      <c r="J807" s="3"/>
      <c r="K807" s="3"/>
      <c r="L807" s="4"/>
      <c r="M807" s="4"/>
      <c r="N807" s="4"/>
      <c r="O807" s="3"/>
      <c r="P807" s="4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6.5" customHeight="1" x14ac:dyDescent="0.3">
      <c r="A808" s="4"/>
      <c r="B808" s="4"/>
      <c r="C808" s="4"/>
      <c r="D808" s="3"/>
      <c r="E808" s="4"/>
      <c r="F808" s="4"/>
      <c r="G808" s="4"/>
      <c r="H808" s="4"/>
      <c r="I808" s="3"/>
      <c r="J808" s="3"/>
      <c r="K808" s="3"/>
      <c r="L808" s="4"/>
      <c r="M808" s="4"/>
      <c r="N808" s="4"/>
      <c r="O808" s="3"/>
      <c r="P808" s="4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6.5" customHeight="1" x14ac:dyDescent="0.3">
      <c r="A809" s="4"/>
      <c r="B809" s="4"/>
      <c r="C809" s="4"/>
      <c r="D809" s="3"/>
      <c r="E809" s="4"/>
      <c r="F809" s="4"/>
      <c r="G809" s="4"/>
      <c r="H809" s="4"/>
      <c r="I809" s="3"/>
      <c r="J809" s="3"/>
      <c r="K809" s="3"/>
      <c r="L809" s="4"/>
      <c r="M809" s="4"/>
      <c r="N809" s="4"/>
      <c r="O809" s="3"/>
      <c r="P809" s="4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6.5" customHeight="1" x14ac:dyDescent="0.3">
      <c r="A810" s="4"/>
      <c r="B810" s="4"/>
      <c r="C810" s="4"/>
      <c r="D810" s="3"/>
      <c r="E810" s="4"/>
      <c r="F810" s="4"/>
      <c r="G810" s="4"/>
      <c r="H810" s="4"/>
      <c r="I810" s="3"/>
      <c r="J810" s="3"/>
      <c r="K810" s="3"/>
      <c r="L810" s="4"/>
      <c r="M810" s="4"/>
      <c r="N810" s="4"/>
      <c r="O810" s="3"/>
      <c r="P810" s="4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6.5" customHeight="1" x14ac:dyDescent="0.3">
      <c r="A811" s="4"/>
      <c r="B811" s="4"/>
      <c r="C811" s="4"/>
      <c r="D811" s="3"/>
      <c r="E811" s="4"/>
      <c r="F811" s="4"/>
      <c r="G811" s="4"/>
      <c r="H811" s="4"/>
      <c r="I811" s="3"/>
      <c r="J811" s="3"/>
      <c r="K811" s="3"/>
      <c r="L811" s="4"/>
      <c r="M811" s="4"/>
      <c r="N811" s="4"/>
      <c r="O811" s="3"/>
      <c r="P811" s="4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6.5" customHeight="1" x14ac:dyDescent="0.3">
      <c r="A812" s="4"/>
      <c r="B812" s="4"/>
      <c r="C812" s="4"/>
      <c r="D812" s="3"/>
      <c r="E812" s="4"/>
      <c r="F812" s="4"/>
      <c r="G812" s="4"/>
      <c r="H812" s="4"/>
      <c r="I812" s="3"/>
      <c r="J812" s="3"/>
      <c r="K812" s="3"/>
      <c r="L812" s="4"/>
      <c r="M812" s="4"/>
      <c r="N812" s="4"/>
      <c r="O812" s="3"/>
      <c r="P812" s="4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6.5" customHeight="1" x14ac:dyDescent="0.3">
      <c r="A813" s="4"/>
      <c r="B813" s="4"/>
      <c r="C813" s="4"/>
      <c r="D813" s="3"/>
      <c r="E813" s="4"/>
      <c r="F813" s="4"/>
      <c r="G813" s="4"/>
      <c r="H813" s="4"/>
      <c r="I813" s="3"/>
      <c r="J813" s="3"/>
      <c r="K813" s="3"/>
      <c r="L813" s="4"/>
      <c r="M813" s="4"/>
      <c r="N813" s="4"/>
      <c r="O813" s="3"/>
      <c r="P813" s="4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6.5" customHeight="1" x14ac:dyDescent="0.3">
      <c r="A814" s="4"/>
      <c r="B814" s="4"/>
      <c r="C814" s="4"/>
      <c r="D814" s="3"/>
      <c r="E814" s="4"/>
      <c r="F814" s="4"/>
      <c r="G814" s="4"/>
      <c r="H814" s="4"/>
      <c r="I814" s="3"/>
      <c r="J814" s="3"/>
      <c r="K814" s="3"/>
      <c r="L814" s="4"/>
      <c r="M814" s="4"/>
      <c r="N814" s="4"/>
      <c r="O814" s="3"/>
      <c r="P814" s="4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6.5" customHeight="1" x14ac:dyDescent="0.3">
      <c r="A815" s="4"/>
      <c r="B815" s="4"/>
      <c r="C815" s="4"/>
      <c r="D815" s="3"/>
      <c r="E815" s="4"/>
      <c r="F815" s="4"/>
      <c r="G815" s="4"/>
      <c r="H815" s="4"/>
      <c r="I815" s="3"/>
      <c r="J815" s="3"/>
      <c r="K815" s="3"/>
      <c r="L815" s="4"/>
      <c r="M815" s="4"/>
      <c r="N815" s="4"/>
      <c r="O815" s="3"/>
      <c r="P815" s="4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6.5" customHeight="1" x14ac:dyDescent="0.3">
      <c r="A816" s="4"/>
      <c r="B816" s="4"/>
      <c r="C816" s="4"/>
      <c r="D816" s="3"/>
      <c r="E816" s="4"/>
      <c r="F816" s="4"/>
      <c r="G816" s="4"/>
      <c r="H816" s="4"/>
      <c r="I816" s="3"/>
      <c r="J816" s="3"/>
      <c r="K816" s="3"/>
      <c r="L816" s="4"/>
      <c r="M816" s="4"/>
      <c r="N816" s="4"/>
      <c r="O816" s="3"/>
      <c r="P816" s="4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6.5" customHeight="1" x14ac:dyDescent="0.3">
      <c r="A817" s="4"/>
      <c r="B817" s="4"/>
      <c r="C817" s="4"/>
      <c r="D817" s="3"/>
      <c r="E817" s="4"/>
      <c r="F817" s="4"/>
      <c r="G817" s="4"/>
      <c r="H817" s="4"/>
      <c r="I817" s="3"/>
      <c r="J817" s="3"/>
      <c r="K817" s="3"/>
      <c r="L817" s="4"/>
      <c r="M817" s="4"/>
      <c r="N817" s="4"/>
      <c r="O817" s="3"/>
      <c r="P817" s="4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6.5" customHeight="1" x14ac:dyDescent="0.3">
      <c r="A818" s="4"/>
      <c r="B818" s="4"/>
      <c r="C818" s="4"/>
      <c r="D818" s="3"/>
      <c r="E818" s="4"/>
      <c r="F818" s="4"/>
      <c r="G818" s="4"/>
      <c r="H818" s="4"/>
      <c r="I818" s="3"/>
      <c r="J818" s="3"/>
      <c r="K818" s="3"/>
      <c r="L818" s="4"/>
      <c r="M818" s="4"/>
      <c r="N818" s="4"/>
      <c r="O818" s="3"/>
      <c r="P818" s="4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6.5" customHeight="1" x14ac:dyDescent="0.3">
      <c r="A819" s="4"/>
      <c r="B819" s="4"/>
      <c r="C819" s="4"/>
      <c r="D819" s="3"/>
      <c r="E819" s="4"/>
      <c r="F819" s="4"/>
      <c r="G819" s="4"/>
      <c r="H819" s="4"/>
      <c r="I819" s="3"/>
      <c r="J819" s="3"/>
      <c r="K819" s="3"/>
      <c r="L819" s="4"/>
      <c r="M819" s="4"/>
      <c r="N819" s="4"/>
      <c r="O819" s="3"/>
      <c r="P819" s="4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6.5" customHeight="1" x14ac:dyDescent="0.3">
      <c r="A820" s="4"/>
      <c r="B820" s="4"/>
      <c r="C820" s="4"/>
      <c r="D820" s="3"/>
      <c r="E820" s="4"/>
      <c r="F820" s="4"/>
      <c r="G820" s="4"/>
      <c r="H820" s="4"/>
      <c r="I820" s="3"/>
      <c r="J820" s="3"/>
      <c r="K820" s="3"/>
      <c r="L820" s="4"/>
      <c r="M820" s="4"/>
      <c r="N820" s="4"/>
      <c r="O820" s="3"/>
      <c r="P820" s="4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6.5" customHeight="1" x14ac:dyDescent="0.3">
      <c r="A821" s="4"/>
      <c r="B821" s="4"/>
      <c r="C821" s="4"/>
      <c r="D821" s="3"/>
      <c r="E821" s="4"/>
      <c r="F821" s="4"/>
      <c r="G821" s="4"/>
      <c r="H821" s="4"/>
      <c r="I821" s="3"/>
      <c r="J821" s="3"/>
      <c r="K821" s="3"/>
      <c r="L821" s="4"/>
      <c r="M821" s="4"/>
      <c r="N821" s="4"/>
      <c r="O821" s="3"/>
      <c r="P821" s="4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6.5" customHeight="1" x14ac:dyDescent="0.3">
      <c r="A822" s="4"/>
      <c r="B822" s="4"/>
      <c r="C822" s="4"/>
      <c r="D822" s="3"/>
      <c r="E822" s="4"/>
      <c r="F822" s="4"/>
      <c r="G822" s="4"/>
      <c r="H822" s="4"/>
      <c r="I822" s="3"/>
      <c r="J822" s="3"/>
      <c r="K822" s="3"/>
      <c r="L822" s="4"/>
      <c r="M822" s="4"/>
      <c r="N822" s="4"/>
      <c r="O822" s="3"/>
      <c r="P822" s="4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6.5" customHeight="1" x14ac:dyDescent="0.3">
      <c r="A823" s="4"/>
      <c r="B823" s="4"/>
      <c r="C823" s="4"/>
      <c r="D823" s="3"/>
      <c r="E823" s="4"/>
      <c r="F823" s="4"/>
      <c r="G823" s="4"/>
      <c r="H823" s="4"/>
      <c r="I823" s="3"/>
      <c r="J823" s="3"/>
      <c r="K823" s="3"/>
      <c r="L823" s="4"/>
      <c r="M823" s="4"/>
      <c r="N823" s="4"/>
      <c r="O823" s="3"/>
      <c r="P823" s="4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6.5" customHeight="1" x14ac:dyDescent="0.3">
      <c r="A824" s="4"/>
      <c r="B824" s="4"/>
      <c r="C824" s="4"/>
      <c r="D824" s="3"/>
      <c r="E824" s="4"/>
      <c r="F824" s="4"/>
      <c r="G824" s="4"/>
      <c r="H824" s="4"/>
      <c r="I824" s="3"/>
      <c r="J824" s="3"/>
      <c r="K824" s="3"/>
      <c r="L824" s="4"/>
      <c r="M824" s="4"/>
      <c r="N824" s="4"/>
      <c r="O824" s="3"/>
      <c r="P824" s="4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6.5" customHeight="1" x14ac:dyDescent="0.3">
      <c r="A825" s="4"/>
      <c r="B825" s="4"/>
      <c r="C825" s="4"/>
      <c r="D825" s="3"/>
      <c r="E825" s="4"/>
      <c r="F825" s="4"/>
      <c r="G825" s="4"/>
      <c r="H825" s="4"/>
      <c r="I825" s="3"/>
      <c r="J825" s="3"/>
      <c r="K825" s="3"/>
      <c r="L825" s="4"/>
      <c r="M825" s="4"/>
      <c r="N825" s="4"/>
      <c r="O825" s="3"/>
      <c r="P825" s="4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6.5" customHeight="1" x14ac:dyDescent="0.3">
      <c r="A826" s="4"/>
      <c r="B826" s="4"/>
      <c r="C826" s="4"/>
      <c r="D826" s="3"/>
      <c r="E826" s="4"/>
      <c r="F826" s="4"/>
      <c r="G826" s="4"/>
      <c r="H826" s="4"/>
      <c r="I826" s="3"/>
      <c r="J826" s="3"/>
      <c r="K826" s="3"/>
      <c r="L826" s="4"/>
      <c r="M826" s="4"/>
      <c r="N826" s="4"/>
      <c r="O826" s="3"/>
      <c r="P826" s="4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6.5" customHeight="1" x14ac:dyDescent="0.3">
      <c r="A827" s="4"/>
      <c r="B827" s="4"/>
      <c r="C827" s="4"/>
      <c r="D827" s="3"/>
      <c r="E827" s="4"/>
      <c r="F827" s="4"/>
      <c r="G827" s="4"/>
      <c r="H827" s="4"/>
      <c r="I827" s="3"/>
      <c r="J827" s="3"/>
      <c r="K827" s="3"/>
      <c r="L827" s="4"/>
      <c r="M827" s="4"/>
      <c r="N827" s="4"/>
      <c r="O827" s="3"/>
      <c r="P827" s="4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6.5" customHeight="1" x14ac:dyDescent="0.3">
      <c r="A828" s="4"/>
      <c r="B828" s="4"/>
      <c r="C828" s="4"/>
      <c r="D828" s="3"/>
      <c r="E828" s="4"/>
      <c r="F828" s="4"/>
      <c r="G828" s="4"/>
      <c r="H828" s="4"/>
      <c r="I828" s="3"/>
      <c r="J828" s="3"/>
      <c r="K828" s="3"/>
      <c r="L828" s="4"/>
      <c r="M828" s="4"/>
      <c r="N828" s="4"/>
      <c r="O828" s="3"/>
      <c r="P828" s="4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6.5" customHeight="1" x14ac:dyDescent="0.3">
      <c r="A829" s="4"/>
      <c r="B829" s="4"/>
      <c r="C829" s="4"/>
      <c r="D829" s="3"/>
      <c r="E829" s="4"/>
      <c r="F829" s="4"/>
      <c r="G829" s="4"/>
      <c r="H829" s="4"/>
      <c r="I829" s="3"/>
      <c r="J829" s="3"/>
      <c r="K829" s="3"/>
      <c r="L829" s="4"/>
      <c r="M829" s="4"/>
      <c r="N829" s="4"/>
      <c r="O829" s="3"/>
      <c r="P829" s="4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6.5" customHeight="1" x14ac:dyDescent="0.3">
      <c r="A830" s="4"/>
      <c r="B830" s="4"/>
      <c r="C830" s="4"/>
      <c r="D830" s="3"/>
      <c r="E830" s="4"/>
      <c r="F830" s="4"/>
      <c r="G830" s="4"/>
      <c r="H830" s="4"/>
      <c r="I830" s="3"/>
      <c r="J830" s="3"/>
      <c r="K830" s="3"/>
      <c r="L830" s="4"/>
      <c r="M830" s="4"/>
      <c r="N830" s="4"/>
      <c r="O830" s="3"/>
      <c r="P830" s="4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6.5" customHeight="1" x14ac:dyDescent="0.3">
      <c r="A831" s="4"/>
      <c r="B831" s="4"/>
      <c r="C831" s="4"/>
      <c r="D831" s="3"/>
      <c r="E831" s="4"/>
      <c r="F831" s="4"/>
      <c r="G831" s="4"/>
      <c r="H831" s="4"/>
      <c r="I831" s="3"/>
      <c r="J831" s="3"/>
      <c r="K831" s="3"/>
      <c r="L831" s="4"/>
      <c r="M831" s="4"/>
      <c r="N831" s="4"/>
      <c r="O831" s="3"/>
      <c r="P831" s="4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6.5" customHeight="1" x14ac:dyDescent="0.3">
      <c r="A832" s="4"/>
      <c r="B832" s="4"/>
      <c r="C832" s="4"/>
      <c r="D832" s="3"/>
      <c r="E832" s="4"/>
      <c r="F832" s="4"/>
      <c r="G832" s="4"/>
      <c r="H832" s="4"/>
      <c r="I832" s="3"/>
      <c r="J832" s="3"/>
      <c r="K832" s="3"/>
      <c r="L832" s="4"/>
      <c r="M832" s="4"/>
      <c r="N832" s="4"/>
      <c r="O832" s="3"/>
      <c r="P832" s="4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6.5" customHeight="1" x14ac:dyDescent="0.3">
      <c r="A833" s="4"/>
      <c r="B833" s="4"/>
      <c r="C833" s="4"/>
      <c r="D833" s="3"/>
      <c r="E833" s="4"/>
      <c r="F833" s="4"/>
      <c r="G833" s="4"/>
      <c r="H833" s="4"/>
      <c r="I833" s="3"/>
      <c r="J833" s="3"/>
      <c r="K833" s="3"/>
      <c r="L833" s="4"/>
      <c r="M833" s="4"/>
      <c r="N833" s="4"/>
      <c r="O833" s="3"/>
      <c r="P833" s="4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6.5" customHeight="1" x14ac:dyDescent="0.3">
      <c r="A834" s="4"/>
      <c r="B834" s="4"/>
      <c r="C834" s="4"/>
      <c r="D834" s="3"/>
      <c r="E834" s="4"/>
      <c r="F834" s="4"/>
      <c r="G834" s="4"/>
      <c r="H834" s="4"/>
      <c r="I834" s="3"/>
      <c r="J834" s="3"/>
      <c r="K834" s="3"/>
      <c r="L834" s="4"/>
      <c r="M834" s="4"/>
      <c r="N834" s="4"/>
      <c r="O834" s="3"/>
      <c r="P834" s="4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6.5" customHeight="1" x14ac:dyDescent="0.3">
      <c r="A835" s="4"/>
      <c r="B835" s="4"/>
      <c r="C835" s="4"/>
      <c r="D835" s="3"/>
      <c r="E835" s="4"/>
      <c r="F835" s="4"/>
      <c r="G835" s="4"/>
      <c r="H835" s="4"/>
      <c r="I835" s="3"/>
      <c r="J835" s="3"/>
      <c r="K835" s="3"/>
      <c r="L835" s="4"/>
      <c r="M835" s="4"/>
      <c r="N835" s="4"/>
      <c r="O835" s="3"/>
      <c r="P835" s="4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6.5" customHeight="1" x14ac:dyDescent="0.3">
      <c r="A836" s="4"/>
      <c r="B836" s="4"/>
      <c r="C836" s="4"/>
      <c r="D836" s="3"/>
      <c r="E836" s="4"/>
      <c r="F836" s="4"/>
      <c r="G836" s="4"/>
      <c r="H836" s="4"/>
      <c r="I836" s="3"/>
      <c r="J836" s="3"/>
      <c r="K836" s="3"/>
      <c r="L836" s="4"/>
      <c r="M836" s="4"/>
      <c r="N836" s="4"/>
      <c r="O836" s="3"/>
      <c r="P836" s="4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6.5" customHeight="1" x14ac:dyDescent="0.3">
      <c r="A837" s="4"/>
      <c r="B837" s="4"/>
      <c r="C837" s="4"/>
      <c r="D837" s="3"/>
      <c r="E837" s="4"/>
      <c r="F837" s="4"/>
      <c r="G837" s="4"/>
      <c r="H837" s="4"/>
      <c r="I837" s="3"/>
      <c r="J837" s="3"/>
      <c r="K837" s="3"/>
      <c r="L837" s="4"/>
      <c r="M837" s="4"/>
      <c r="N837" s="4"/>
      <c r="O837" s="3"/>
      <c r="P837" s="4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6.5" customHeight="1" x14ac:dyDescent="0.3">
      <c r="A838" s="4"/>
      <c r="B838" s="4"/>
      <c r="C838" s="4"/>
      <c r="D838" s="3"/>
      <c r="E838" s="4"/>
      <c r="F838" s="4"/>
      <c r="G838" s="4"/>
      <c r="H838" s="4"/>
      <c r="I838" s="3"/>
      <c r="J838" s="3"/>
      <c r="K838" s="3"/>
      <c r="L838" s="4"/>
      <c r="M838" s="4"/>
      <c r="N838" s="4"/>
      <c r="O838" s="3"/>
      <c r="P838" s="4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6.5" customHeight="1" x14ac:dyDescent="0.3">
      <c r="A839" s="4"/>
      <c r="B839" s="4"/>
      <c r="C839" s="4"/>
      <c r="D839" s="3"/>
      <c r="E839" s="4"/>
      <c r="F839" s="4"/>
      <c r="G839" s="4"/>
      <c r="H839" s="4"/>
      <c r="I839" s="3"/>
      <c r="J839" s="3"/>
      <c r="K839" s="3"/>
      <c r="L839" s="4"/>
      <c r="M839" s="4"/>
      <c r="N839" s="4"/>
      <c r="O839" s="3"/>
      <c r="P839" s="4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6.5" customHeight="1" x14ac:dyDescent="0.3">
      <c r="A840" s="4"/>
      <c r="B840" s="4"/>
      <c r="C840" s="4"/>
      <c r="D840" s="3"/>
      <c r="E840" s="4"/>
      <c r="F840" s="4"/>
      <c r="G840" s="4"/>
      <c r="H840" s="4"/>
      <c r="I840" s="3"/>
      <c r="J840" s="3"/>
      <c r="K840" s="3"/>
      <c r="L840" s="4"/>
      <c r="M840" s="4"/>
      <c r="N840" s="4"/>
      <c r="O840" s="3"/>
      <c r="P840" s="4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6.5" customHeight="1" x14ac:dyDescent="0.3">
      <c r="A841" s="4"/>
      <c r="B841" s="4"/>
      <c r="C841" s="4"/>
      <c r="D841" s="3"/>
      <c r="E841" s="4"/>
      <c r="F841" s="4"/>
      <c r="G841" s="4"/>
      <c r="H841" s="4"/>
      <c r="I841" s="3"/>
      <c r="J841" s="3"/>
      <c r="K841" s="3"/>
      <c r="L841" s="4"/>
      <c r="M841" s="4"/>
      <c r="N841" s="4"/>
      <c r="O841" s="3"/>
      <c r="P841" s="4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6.5" customHeight="1" x14ac:dyDescent="0.3">
      <c r="A842" s="4"/>
      <c r="B842" s="4"/>
      <c r="C842" s="4"/>
      <c r="D842" s="3"/>
      <c r="E842" s="4"/>
      <c r="F842" s="4"/>
      <c r="G842" s="4"/>
      <c r="H842" s="4"/>
      <c r="I842" s="3"/>
      <c r="J842" s="3"/>
      <c r="K842" s="3"/>
      <c r="L842" s="4"/>
      <c r="M842" s="4"/>
      <c r="N842" s="4"/>
      <c r="O842" s="3"/>
      <c r="P842" s="4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6.5" customHeight="1" x14ac:dyDescent="0.3">
      <c r="A843" s="4"/>
      <c r="B843" s="4"/>
      <c r="C843" s="4"/>
      <c r="D843" s="3"/>
      <c r="E843" s="4"/>
      <c r="F843" s="4"/>
      <c r="G843" s="4"/>
      <c r="H843" s="4"/>
      <c r="I843" s="3"/>
      <c r="J843" s="3"/>
      <c r="K843" s="3"/>
      <c r="L843" s="4"/>
      <c r="M843" s="4"/>
      <c r="N843" s="4"/>
      <c r="O843" s="3"/>
      <c r="P843" s="4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6.5" customHeight="1" x14ac:dyDescent="0.3">
      <c r="A844" s="4"/>
      <c r="B844" s="4"/>
      <c r="C844" s="4"/>
      <c r="D844" s="3"/>
      <c r="E844" s="4"/>
      <c r="F844" s="4"/>
      <c r="G844" s="4"/>
      <c r="H844" s="4"/>
      <c r="I844" s="3"/>
      <c r="J844" s="3"/>
      <c r="K844" s="3"/>
      <c r="L844" s="4"/>
      <c r="M844" s="4"/>
      <c r="N844" s="4"/>
      <c r="O844" s="3"/>
      <c r="P844" s="4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6.5" customHeight="1" x14ac:dyDescent="0.3">
      <c r="A845" s="4"/>
      <c r="B845" s="4"/>
      <c r="C845" s="4"/>
      <c r="D845" s="3"/>
      <c r="E845" s="4"/>
      <c r="F845" s="4"/>
      <c r="G845" s="4"/>
      <c r="H845" s="4"/>
      <c r="I845" s="3"/>
      <c r="J845" s="3"/>
      <c r="K845" s="3"/>
      <c r="L845" s="4"/>
      <c r="M845" s="4"/>
      <c r="N845" s="4"/>
      <c r="O845" s="3"/>
      <c r="P845" s="4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6.5" customHeight="1" x14ac:dyDescent="0.3">
      <c r="A846" s="4"/>
      <c r="B846" s="4"/>
      <c r="C846" s="4"/>
      <c r="D846" s="3"/>
      <c r="E846" s="4"/>
      <c r="F846" s="4"/>
      <c r="G846" s="4"/>
      <c r="H846" s="4"/>
      <c r="I846" s="3"/>
      <c r="J846" s="3"/>
      <c r="K846" s="3"/>
      <c r="L846" s="4"/>
      <c r="M846" s="4"/>
      <c r="N846" s="4"/>
      <c r="O846" s="3"/>
      <c r="P846" s="4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6.5" customHeight="1" x14ac:dyDescent="0.3">
      <c r="A847" s="4"/>
      <c r="B847" s="4"/>
      <c r="C847" s="4"/>
      <c r="D847" s="3"/>
      <c r="E847" s="4"/>
      <c r="F847" s="4"/>
      <c r="G847" s="4"/>
      <c r="H847" s="4"/>
      <c r="I847" s="3"/>
      <c r="J847" s="3"/>
      <c r="K847" s="3"/>
      <c r="L847" s="4"/>
      <c r="M847" s="4"/>
      <c r="N847" s="4"/>
      <c r="O847" s="3"/>
      <c r="P847" s="4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6.5" customHeight="1" x14ac:dyDescent="0.3">
      <c r="A848" s="4"/>
      <c r="B848" s="4"/>
      <c r="C848" s="4"/>
      <c r="D848" s="3"/>
      <c r="E848" s="4"/>
      <c r="F848" s="4"/>
      <c r="G848" s="4"/>
      <c r="H848" s="4"/>
      <c r="I848" s="3"/>
      <c r="J848" s="3"/>
      <c r="K848" s="3"/>
      <c r="L848" s="4"/>
      <c r="M848" s="4"/>
      <c r="N848" s="4"/>
      <c r="O848" s="3"/>
      <c r="P848" s="4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6.5" customHeight="1" x14ac:dyDescent="0.3">
      <c r="A849" s="4"/>
      <c r="B849" s="4"/>
      <c r="C849" s="4"/>
      <c r="D849" s="3"/>
      <c r="E849" s="4"/>
      <c r="F849" s="4"/>
      <c r="G849" s="4"/>
      <c r="H849" s="4"/>
      <c r="I849" s="3"/>
      <c r="J849" s="3"/>
      <c r="K849" s="3"/>
      <c r="L849" s="4"/>
      <c r="M849" s="4"/>
      <c r="N849" s="4"/>
      <c r="O849" s="3"/>
      <c r="P849" s="4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6.5" customHeight="1" x14ac:dyDescent="0.3">
      <c r="A850" s="4"/>
      <c r="B850" s="4"/>
      <c r="C850" s="4"/>
      <c r="D850" s="3"/>
      <c r="E850" s="4"/>
      <c r="F850" s="4"/>
      <c r="G850" s="4"/>
      <c r="H850" s="4"/>
      <c r="I850" s="3"/>
      <c r="J850" s="3"/>
      <c r="K850" s="3"/>
      <c r="L850" s="4"/>
      <c r="M850" s="4"/>
      <c r="N850" s="4"/>
      <c r="O850" s="3"/>
      <c r="P850" s="4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6.5" customHeight="1" x14ac:dyDescent="0.3">
      <c r="A851" s="4"/>
      <c r="B851" s="4"/>
      <c r="C851" s="4"/>
      <c r="D851" s="3"/>
      <c r="E851" s="4"/>
      <c r="F851" s="4"/>
      <c r="G851" s="4"/>
      <c r="H851" s="4"/>
      <c r="I851" s="3"/>
      <c r="J851" s="3"/>
      <c r="K851" s="3"/>
      <c r="L851" s="4"/>
      <c r="M851" s="4"/>
      <c r="N851" s="4"/>
      <c r="O851" s="3"/>
      <c r="P851" s="4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6.5" customHeight="1" x14ac:dyDescent="0.3">
      <c r="A852" s="4"/>
      <c r="B852" s="4"/>
      <c r="C852" s="4"/>
      <c r="D852" s="3"/>
      <c r="E852" s="4"/>
      <c r="F852" s="4"/>
      <c r="G852" s="4"/>
      <c r="H852" s="4"/>
      <c r="I852" s="3"/>
      <c r="J852" s="3"/>
      <c r="K852" s="3"/>
      <c r="L852" s="4"/>
      <c r="M852" s="4"/>
      <c r="N852" s="4"/>
      <c r="O852" s="3"/>
      <c r="P852" s="4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6.5" customHeight="1" x14ac:dyDescent="0.3">
      <c r="A853" s="4"/>
      <c r="B853" s="4"/>
      <c r="C853" s="4"/>
      <c r="D853" s="3"/>
      <c r="E853" s="4"/>
      <c r="F853" s="4"/>
      <c r="G853" s="4"/>
      <c r="H853" s="4"/>
      <c r="I853" s="3"/>
      <c r="J853" s="3"/>
      <c r="K853" s="3"/>
      <c r="L853" s="4"/>
      <c r="M853" s="4"/>
      <c r="N853" s="4"/>
      <c r="O853" s="3"/>
      <c r="P853" s="4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6.5" customHeight="1" x14ac:dyDescent="0.3">
      <c r="A854" s="4"/>
      <c r="B854" s="4"/>
      <c r="C854" s="4"/>
      <c r="D854" s="3"/>
      <c r="E854" s="4"/>
      <c r="F854" s="4"/>
      <c r="G854" s="4"/>
      <c r="H854" s="4"/>
      <c r="I854" s="3"/>
      <c r="J854" s="3"/>
      <c r="K854" s="3"/>
      <c r="L854" s="4"/>
      <c r="M854" s="4"/>
      <c r="N854" s="4"/>
      <c r="O854" s="3"/>
      <c r="P854" s="4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6.5" customHeight="1" x14ac:dyDescent="0.3">
      <c r="A855" s="4"/>
      <c r="B855" s="4"/>
      <c r="C855" s="4"/>
      <c r="D855" s="3"/>
      <c r="E855" s="4"/>
      <c r="F855" s="4"/>
      <c r="G855" s="4"/>
      <c r="H855" s="4"/>
      <c r="I855" s="3"/>
      <c r="J855" s="3"/>
      <c r="K855" s="3"/>
      <c r="L855" s="4"/>
      <c r="M855" s="4"/>
      <c r="N855" s="4"/>
      <c r="O855" s="3"/>
      <c r="P855" s="4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6.5" customHeight="1" x14ac:dyDescent="0.3">
      <c r="A856" s="4"/>
      <c r="B856" s="4"/>
      <c r="C856" s="4"/>
      <c r="D856" s="3"/>
      <c r="E856" s="4"/>
      <c r="F856" s="4"/>
      <c r="G856" s="4"/>
      <c r="H856" s="4"/>
      <c r="I856" s="3"/>
      <c r="J856" s="3"/>
      <c r="K856" s="3"/>
      <c r="L856" s="4"/>
      <c r="M856" s="4"/>
      <c r="N856" s="4"/>
      <c r="O856" s="3"/>
      <c r="P856" s="4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6.5" customHeight="1" x14ac:dyDescent="0.3">
      <c r="A857" s="4"/>
      <c r="B857" s="4"/>
      <c r="C857" s="4"/>
      <c r="D857" s="3"/>
      <c r="E857" s="4"/>
      <c r="F857" s="4"/>
      <c r="G857" s="4"/>
      <c r="H857" s="4"/>
      <c r="I857" s="3"/>
      <c r="J857" s="3"/>
      <c r="K857" s="3"/>
      <c r="L857" s="4"/>
      <c r="M857" s="4"/>
      <c r="N857" s="4"/>
      <c r="O857" s="3"/>
      <c r="P857" s="4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6.5" customHeight="1" x14ac:dyDescent="0.3">
      <c r="A858" s="4"/>
      <c r="B858" s="4"/>
      <c r="C858" s="4"/>
      <c r="D858" s="3"/>
      <c r="E858" s="4"/>
      <c r="F858" s="4"/>
      <c r="G858" s="4"/>
      <c r="H858" s="4"/>
      <c r="I858" s="3"/>
      <c r="J858" s="3"/>
      <c r="K858" s="3"/>
      <c r="L858" s="4"/>
      <c r="M858" s="4"/>
      <c r="N858" s="4"/>
      <c r="O858" s="3"/>
      <c r="P858" s="4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6.5" customHeight="1" x14ac:dyDescent="0.3">
      <c r="A859" s="4"/>
      <c r="B859" s="4"/>
      <c r="C859" s="4"/>
      <c r="D859" s="3"/>
      <c r="E859" s="4"/>
      <c r="F859" s="4"/>
      <c r="G859" s="4"/>
      <c r="H859" s="4"/>
      <c r="I859" s="3"/>
      <c r="J859" s="3"/>
      <c r="K859" s="3"/>
      <c r="L859" s="4"/>
      <c r="M859" s="4"/>
      <c r="N859" s="4"/>
      <c r="O859" s="3"/>
      <c r="P859" s="4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6.5" customHeight="1" x14ac:dyDescent="0.3">
      <c r="A860" s="4"/>
      <c r="B860" s="4"/>
      <c r="C860" s="4"/>
      <c r="D860" s="3"/>
      <c r="E860" s="4"/>
      <c r="F860" s="4"/>
      <c r="G860" s="4"/>
      <c r="H860" s="4"/>
      <c r="I860" s="3"/>
      <c r="J860" s="3"/>
      <c r="K860" s="3"/>
      <c r="L860" s="4"/>
      <c r="M860" s="4"/>
      <c r="N860" s="4"/>
      <c r="O860" s="3"/>
      <c r="P860" s="4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6.5" customHeight="1" x14ac:dyDescent="0.3">
      <c r="A861" s="4"/>
      <c r="B861" s="4"/>
      <c r="C861" s="4"/>
      <c r="D861" s="3"/>
      <c r="E861" s="4"/>
      <c r="F861" s="4"/>
      <c r="G861" s="4"/>
      <c r="H861" s="4"/>
      <c r="I861" s="3"/>
      <c r="J861" s="3"/>
      <c r="K861" s="3"/>
      <c r="L861" s="4"/>
      <c r="M861" s="4"/>
      <c r="N861" s="4"/>
      <c r="O861" s="3"/>
      <c r="P861" s="4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6.5" customHeight="1" x14ac:dyDescent="0.3">
      <c r="A862" s="4"/>
      <c r="B862" s="4"/>
      <c r="C862" s="4"/>
      <c r="D862" s="3"/>
      <c r="E862" s="4"/>
      <c r="F862" s="4"/>
      <c r="G862" s="4"/>
      <c r="H862" s="4"/>
      <c r="I862" s="3"/>
      <c r="J862" s="3"/>
      <c r="K862" s="3"/>
      <c r="L862" s="4"/>
      <c r="M862" s="4"/>
      <c r="N862" s="4"/>
      <c r="O862" s="3"/>
      <c r="P862" s="4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6.5" customHeight="1" x14ac:dyDescent="0.3">
      <c r="A863" s="4"/>
      <c r="B863" s="4"/>
      <c r="C863" s="4"/>
      <c r="D863" s="3"/>
      <c r="E863" s="4"/>
      <c r="F863" s="4"/>
      <c r="G863" s="4"/>
      <c r="H863" s="4"/>
      <c r="I863" s="3"/>
      <c r="J863" s="3"/>
      <c r="K863" s="3"/>
      <c r="L863" s="4"/>
      <c r="M863" s="4"/>
      <c r="N863" s="4"/>
      <c r="O863" s="3"/>
      <c r="P863" s="4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6.5" customHeight="1" x14ac:dyDescent="0.3">
      <c r="A864" s="4"/>
      <c r="B864" s="4"/>
      <c r="C864" s="4"/>
      <c r="D864" s="3"/>
      <c r="E864" s="4"/>
      <c r="F864" s="4"/>
      <c r="G864" s="4"/>
      <c r="H864" s="4"/>
      <c r="I864" s="3"/>
      <c r="J864" s="3"/>
      <c r="K864" s="3"/>
      <c r="L864" s="4"/>
      <c r="M864" s="4"/>
      <c r="N864" s="4"/>
      <c r="O864" s="3"/>
      <c r="P864" s="4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6.5" customHeight="1" x14ac:dyDescent="0.3">
      <c r="A865" s="4"/>
      <c r="B865" s="4"/>
      <c r="C865" s="4"/>
      <c r="D865" s="3"/>
      <c r="E865" s="4"/>
      <c r="F865" s="4"/>
      <c r="G865" s="4"/>
      <c r="H865" s="4"/>
      <c r="I865" s="3"/>
      <c r="J865" s="3"/>
      <c r="K865" s="3"/>
      <c r="L865" s="4"/>
      <c r="M865" s="4"/>
      <c r="N865" s="4"/>
      <c r="O865" s="3"/>
      <c r="P865" s="4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6.5" customHeight="1" x14ac:dyDescent="0.3">
      <c r="A866" s="4"/>
      <c r="B866" s="4"/>
      <c r="C866" s="4"/>
      <c r="D866" s="3"/>
      <c r="E866" s="4"/>
      <c r="F866" s="4"/>
      <c r="G866" s="4"/>
      <c r="H866" s="4"/>
      <c r="I866" s="3"/>
      <c r="J866" s="3"/>
      <c r="K866" s="3"/>
      <c r="L866" s="4"/>
      <c r="M866" s="4"/>
      <c r="N866" s="4"/>
      <c r="O866" s="3"/>
      <c r="P866" s="4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6.5" customHeight="1" x14ac:dyDescent="0.3">
      <c r="A867" s="4"/>
      <c r="B867" s="4"/>
      <c r="C867" s="4"/>
      <c r="D867" s="3"/>
      <c r="E867" s="4"/>
      <c r="F867" s="4"/>
      <c r="G867" s="4"/>
      <c r="H867" s="4"/>
      <c r="I867" s="3"/>
      <c r="J867" s="3"/>
      <c r="K867" s="3"/>
      <c r="L867" s="4"/>
      <c r="M867" s="4"/>
      <c r="N867" s="4"/>
      <c r="O867" s="3"/>
      <c r="P867" s="4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6.5" customHeight="1" x14ac:dyDescent="0.3">
      <c r="A868" s="4"/>
      <c r="B868" s="4"/>
      <c r="C868" s="4"/>
      <c r="D868" s="3"/>
      <c r="E868" s="4"/>
      <c r="F868" s="4"/>
      <c r="G868" s="4"/>
      <c r="H868" s="4"/>
      <c r="I868" s="3"/>
      <c r="J868" s="3"/>
      <c r="K868" s="3"/>
      <c r="L868" s="4"/>
      <c r="M868" s="4"/>
      <c r="N868" s="4"/>
      <c r="O868" s="3"/>
      <c r="P868" s="4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6.5" customHeight="1" x14ac:dyDescent="0.3">
      <c r="A869" s="4"/>
      <c r="B869" s="4"/>
      <c r="C869" s="4"/>
      <c r="D869" s="3"/>
      <c r="E869" s="4"/>
      <c r="F869" s="4"/>
      <c r="G869" s="4"/>
      <c r="H869" s="4"/>
      <c r="I869" s="3"/>
      <c r="J869" s="3"/>
      <c r="K869" s="3"/>
      <c r="L869" s="4"/>
      <c r="M869" s="4"/>
      <c r="N869" s="4"/>
      <c r="O869" s="3"/>
      <c r="P869" s="4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6.5" customHeight="1" x14ac:dyDescent="0.3">
      <c r="A870" s="4"/>
      <c r="B870" s="4"/>
      <c r="C870" s="4"/>
      <c r="D870" s="3"/>
      <c r="E870" s="4"/>
      <c r="F870" s="4"/>
      <c r="G870" s="4"/>
      <c r="H870" s="4"/>
      <c r="I870" s="3"/>
      <c r="J870" s="3"/>
      <c r="K870" s="3"/>
      <c r="L870" s="4"/>
      <c r="M870" s="4"/>
      <c r="N870" s="4"/>
      <c r="O870" s="3"/>
      <c r="P870" s="4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6.5" customHeight="1" x14ac:dyDescent="0.3">
      <c r="A871" s="4"/>
      <c r="B871" s="4"/>
      <c r="C871" s="4"/>
      <c r="D871" s="3"/>
      <c r="E871" s="4"/>
      <c r="F871" s="4"/>
      <c r="G871" s="4"/>
      <c r="H871" s="4"/>
      <c r="I871" s="3"/>
      <c r="J871" s="3"/>
      <c r="K871" s="3"/>
      <c r="L871" s="4"/>
      <c r="M871" s="4"/>
      <c r="N871" s="4"/>
      <c r="O871" s="3"/>
      <c r="P871" s="4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6.5" customHeight="1" x14ac:dyDescent="0.3">
      <c r="A872" s="4"/>
      <c r="B872" s="4"/>
      <c r="C872" s="4"/>
      <c r="D872" s="3"/>
      <c r="E872" s="4"/>
      <c r="F872" s="4"/>
      <c r="G872" s="4"/>
      <c r="H872" s="4"/>
      <c r="I872" s="3"/>
      <c r="J872" s="3"/>
      <c r="K872" s="3"/>
      <c r="L872" s="4"/>
      <c r="M872" s="4"/>
      <c r="N872" s="4"/>
      <c r="O872" s="3"/>
      <c r="P872" s="4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6.5" customHeight="1" x14ac:dyDescent="0.3">
      <c r="A873" s="4"/>
      <c r="B873" s="4"/>
      <c r="C873" s="4"/>
      <c r="D873" s="3"/>
      <c r="E873" s="4"/>
      <c r="F873" s="4"/>
      <c r="G873" s="4"/>
      <c r="H873" s="4"/>
      <c r="I873" s="3"/>
      <c r="J873" s="3"/>
      <c r="K873" s="3"/>
      <c r="L873" s="4"/>
      <c r="M873" s="4"/>
      <c r="N873" s="4"/>
      <c r="O873" s="3"/>
      <c r="P873" s="4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6.5" customHeight="1" x14ac:dyDescent="0.3">
      <c r="A874" s="4"/>
      <c r="B874" s="4"/>
      <c r="C874" s="4"/>
      <c r="D874" s="3"/>
      <c r="E874" s="4"/>
      <c r="F874" s="4"/>
      <c r="G874" s="4"/>
      <c r="H874" s="4"/>
      <c r="I874" s="3"/>
      <c r="J874" s="3"/>
      <c r="K874" s="3"/>
      <c r="L874" s="4"/>
      <c r="M874" s="4"/>
      <c r="N874" s="4"/>
      <c r="O874" s="3"/>
      <c r="P874" s="4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6.5" customHeight="1" x14ac:dyDescent="0.3">
      <c r="A875" s="4"/>
      <c r="B875" s="4"/>
      <c r="C875" s="4"/>
      <c r="D875" s="3"/>
      <c r="E875" s="4"/>
      <c r="F875" s="4"/>
      <c r="G875" s="4"/>
      <c r="H875" s="4"/>
      <c r="I875" s="3"/>
      <c r="J875" s="3"/>
      <c r="K875" s="3"/>
      <c r="L875" s="4"/>
      <c r="M875" s="4"/>
      <c r="N875" s="4"/>
      <c r="O875" s="3"/>
      <c r="P875" s="4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6.5" customHeight="1" x14ac:dyDescent="0.3">
      <c r="A876" s="4"/>
      <c r="B876" s="4"/>
      <c r="C876" s="4"/>
      <c r="D876" s="3"/>
      <c r="E876" s="4"/>
      <c r="F876" s="4"/>
      <c r="G876" s="4"/>
      <c r="H876" s="4"/>
      <c r="I876" s="3"/>
      <c r="J876" s="3"/>
      <c r="K876" s="3"/>
      <c r="L876" s="4"/>
      <c r="M876" s="4"/>
      <c r="N876" s="4"/>
      <c r="O876" s="3"/>
      <c r="P876" s="4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6.5" customHeight="1" x14ac:dyDescent="0.3">
      <c r="A877" s="4"/>
      <c r="B877" s="4"/>
      <c r="C877" s="4"/>
      <c r="D877" s="3"/>
      <c r="E877" s="4"/>
      <c r="F877" s="4"/>
      <c r="G877" s="4"/>
      <c r="H877" s="4"/>
      <c r="I877" s="3"/>
      <c r="J877" s="3"/>
      <c r="K877" s="3"/>
      <c r="L877" s="4"/>
      <c r="M877" s="4"/>
      <c r="N877" s="4"/>
      <c r="O877" s="3"/>
      <c r="P877" s="4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6.5" customHeight="1" x14ac:dyDescent="0.3">
      <c r="A878" s="4"/>
      <c r="B878" s="4"/>
      <c r="C878" s="4"/>
      <c r="D878" s="3"/>
      <c r="E878" s="4"/>
      <c r="F878" s="4"/>
      <c r="G878" s="4"/>
      <c r="H878" s="4"/>
      <c r="I878" s="3"/>
      <c r="J878" s="3"/>
      <c r="K878" s="3"/>
      <c r="L878" s="4"/>
      <c r="M878" s="4"/>
      <c r="N878" s="4"/>
      <c r="O878" s="3"/>
      <c r="P878" s="4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6.5" customHeight="1" x14ac:dyDescent="0.3">
      <c r="A879" s="4"/>
      <c r="B879" s="4"/>
      <c r="C879" s="4"/>
      <c r="D879" s="3"/>
      <c r="E879" s="4"/>
      <c r="F879" s="4"/>
      <c r="G879" s="4"/>
      <c r="H879" s="4"/>
      <c r="I879" s="3"/>
      <c r="J879" s="3"/>
      <c r="K879" s="3"/>
      <c r="L879" s="4"/>
      <c r="M879" s="4"/>
      <c r="N879" s="4"/>
      <c r="O879" s="3"/>
      <c r="P879" s="4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6.5" customHeight="1" x14ac:dyDescent="0.3">
      <c r="A880" s="4"/>
      <c r="B880" s="4"/>
      <c r="C880" s="4"/>
      <c r="D880" s="3"/>
      <c r="E880" s="4"/>
      <c r="F880" s="4"/>
      <c r="G880" s="4"/>
      <c r="H880" s="4"/>
      <c r="I880" s="3"/>
      <c r="J880" s="3"/>
      <c r="K880" s="3"/>
      <c r="L880" s="4"/>
      <c r="M880" s="4"/>
      <c r="N880" s="4"/>
      <c r="O880" s="3"/>
      <c r="P880" s="4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6.5" customHeight="1" x14ac:dyDescent="0.3">
      <c r="A881" s="4"/>
      <c r="B881" s="4"/>
      <c r="C881" s="4"/>
      <c r="D881" s="3"/>
      <c r="E881" s="4"/>
      <c r="F881" s="4"/>
      <c r="G881" s="4"/>
      <c r="H881" s="4"/>
      <c r="I881" s="3"/>
      <c r="J881" s="3"/>
      <c r="K881" s="3"/>
      <c r="L881" s="4"/>
      <c r="M881" s="4"/>
      <c r="N881" s="4"/>
      <c r="O881" s="3"/>
      <c r="P881" s="4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6.5" customHeight="1" x14ac:dyDescent="0.3">
      <c r="A882" s="4"/>
      <c r="B882" s="4"/>
      <c r="C882" s="4"/>
      <c r="D882" s="3"/>
      <c r="E882" s="4"/>
      <c r="F882" s="4"/>
      <c r="G882" s="4"/>
      <c r="H882" s="4"/>
      <c r="I882" s="3"/>
      <c r="J882" s="3"/>
      <c r="K882" s="3"/>
      <c r="L882" s="4"/>
      <c r="M882" s="4"/>
      <c r="N882" s="4"/>
      <c r="O882" s="3"/>
      <c r="P882" s="4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6.5" customHeight="1" x14ac:dyDescent="0.3">
      <c r="A883" s="4"/>
      <c r="B883" s="4"/>
      <c r="C883" s="4"/>
      <c r="D883" s="3"/>
      <c r="E883" s="4"/>
      <c r="F883" s="4"/>
      <c r="G883" s="4"/>
      <c r="H883" s="4"/>
      <c r="I883" s="3"/>
      <c r="J883" s="3"/>
      <c r="K883" s="3"/>
      <c r="L883" s="4"/>
      <c r="M883" s="4"/>
      <c r="N883" s="4"/>
      <c r="O883" s="3"/>
      <c r="P883" s="4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6.5" customHeight="1" x14ac:dyDescent="0.3">
      <c r="A884" s="4"/>
      <c r="B884" s="4"/>
      <c r="C884" s="4"/>
      <c r="D884" s="3"/>
      <c r="E884" s="4"/>
      <c r="F884" s="4"/>
      <c r="G884" s="4"/>
      <c r="H884" s="4"/>
      <c r="I884" s="3"/>
      <c r="J884" s="3"/>
      <c r="K884" s="3"/>
      <c r="L884" s="4"/>
      <c r="M884" s="4"/>
      <c r="N884" s="4"/>
      <c r="O884" s="3"/>
      <c r="P884" s="4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6.5" customHeight="1" x14ac:dyDescent="0.3">
      <c r="A885" s="4"/>
      <c r="B885" s="4"/>
      <c r="C885" s="4"/>
      <c r="D885" s="3"/>
      <c r="E885" s="4"/>
      <c r="F885" s="4"/>
      <c r="G885" s="4"/>
      <c r="H885" s="4"/>
      <c r="I885" s="3"/>
      <c r="J885" s="3"/>
      <c r="K885" s="3"/>
      <c r="L885" s="4"/>
      <c r="M885" s="4"/>
      <c r="N885" s="4"/>
      <c r="O885" s="3"/>
      <c r="P885" s="4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6.5" customHeight="1" x14ac:dyDescent="0.3">
      <c r="A886" s="4"/>
      <c r="B886" s="4"/>
      <c r="C886" s="4"/>
      <c r="D886" s="3"/>
      <c r="E886" s="4"/>
      <c r="F886" s="4"/>
      <c r="G886" s="4"/>
      <c r="H886" s="4"/>
      <c r="I886" s="3"/>
      <c r="J886" s="3"/>
      <c r="K886" s="3"/>
      <c r="L886" s="4"/>
      <c r="M886" s="4"/>
      <c r="N886" s="4"/>
      <c r="O886" s="3"/>
      <c r="P886" s="4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6.5" customHeight="1" x14ac:dyDescent="0.3">
      <c r="A887" s="4"/>
      <c r="B887" s="4"/>
      <c r="C887" s="4"/>
      <c r="D887" s="3"/>
      <c r="E887" s="4"/>
      <c r="F887" s="4"/>
      <c r="G887" s="4"/>
      <c r="H887" s="4"/>
      <c r="I887" s="3"/>
      <c r="J887" s="3"/>
      <c r="K887" s="3"/>
      <c r="L887" s="4"/>
      <c r="M887" s="4"/>
      <c r="N887" s="4"/>
      <c r="O887" s="3"/>
      <c r="P887" s="4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6.5" customHeight="1" x14ac:dyDescent="0.3">
      <c r="A888" s="4"/>
      <c r="B888" s="4"/>
      <c r="C888" s="4"/>
      <c r="D888" s="3"/>
      <c r="E888" s="4"/>
      <c r="F888" s="4"/>
      <c r="G888" s="4"/>
      <c r="H888" s="4"/>
      <c r="I888" s="3"/>
      <c r="J888" s="3"/>
      <c r="K888" s="3"/>
      <c r="L888" s="4"/>
      <c r="M888" s="4"/>
      <c r="N888" s="4"/>
      <c r="O888" s="3"/>
      <c r="P888" s="4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6.5" customHeight="1" x14ac:dyDescent="0.3">
      <c r="A889" s="4"/>
      <c r="B889" s="4"/>
      <c r="C889" s="4"/>
      <c r="D889" s="3"/>
      <c r="E889" s="4"/>
      <c r="F889" s="4"/>
      <c r="G889" s="4"/>
      <c r="H889" s="4"/>
      <c r="I889" s="3"/>
      <c r="J889" s="3"/>
      <c r="K889" s="3"/>
      <c r="L889" s="4"/>
      <c r="M889" s="4"/>
      <c r="N889" s="4"/>
      <c r="O889" s="3"/>
      <c r="P889" s="4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6.5" customHeight="1" x14ac:dyDescent="0.3">
      <c r="A890" s="4"/>
      <c r="B890" s="4"/>
      <c r="C890" s="4"/>
      <c r="D890" s="3"/>
      <c r="E890" s="4"/>
      <c r="F890" s="4"/>
      <c r="G890" s="4"/>
      <c r="H890" s="4"/>
      <c r="I890" s="3"/>
      <c r="J890" s="3"/>
      <c r="K890" s="3"/>
      <c r="L890" s="4"/>
      <c r="M890" s="4"/>
      <c r="N890" s="4"/>
      <c r="O890" s="3"/>
      <c r="P890" s="4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6.5" customHeight="1" x14ac:dyDescent="0.3">
      <c r="A891" s="4"/>
      <c r="B891" s="4"/>
      <c r="C891" s="4"/>
      <c r="D891" s="3"/>
      <c r="E891" s="4"/>
      <c r="F891" s="4"/>
      <c r="G891" s="4"/>
      <c r="H891" s="4"/>
      <c r="I891" s="3"/>
      <c r="J891" s="3"/>
      <c r="K891" s="3"/>
      <c r="L891" s="4"/>
      <c r="M891" s="4"/>
      <c r="N891" s="4"/>
      <c r="O891" s="3"/>
      <c r="P891" s="4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6.5" customHeight="1" x14ac:dyDescent="0.3">
      <c r="A892" s="4"/>
      <c r="B892" s="4"/>
      <c r="C892" s="4"/>
      <c r="D892" s="3"/>
      <c r="E892" s="4"/>
      <c r="F892" s="4"/>
      <c r="G892" s="4"/>
      <c r="H892" s="4"/>
      <c r="I892" s="3"/>
      <c r="J892" s="3"/>
      <c r="K892" s="3"/>
      <c r="L892" s="4"/>
      <c r="M892" s="4"/>
      <c r="N892" s="4"/>
      <c r="O892" s="3"/>
      <c r="P892" s="4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6.5" customHeight="1" x14ac:dyDescent="0.3">
      <c r="A893" s="4"/>
      <c r="B893" s="4"/>
      <c r="C893" s="4"/>
      <c r="D893" s="3"/>
      <c r="E893" s="4"/>
      <c r="F893" s="4"/>
      <c r="G893" s="4"/>
      <c r="H893" s="4"/>
      <c r="I893" s="3"/>
      <c r="J893" s="3"/>
      <c r="K893" s="3"/>
      <c r="L893" s="4"/>
      <c r="M893" s="4"/>
      <c r="N893" s="4"/>
      <c r="O893" s="3"/>
      <c r="P893" s="4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6.5" customHeight="1" x14ac:dyDescent="0.3">
      <c r="A894" s="4"/>
      <c r="B894" s="4"/>
      <c r="C894" s="4"/>
      <c r="D894" s="3"/>
      <c r="E894" s="4"/>
      <c r="F894" s="4"/>
      <c r="G894" s="4"/>
      <c r="H894" s="4"/>
      <c r="I894" s="3"/>
      <c r="J894" s="3"/>
      <c r="K894" s="3"/>
      <c r="L894" s="4"/>
      <c r="M894" s="4"/>
      <c r="N894" s="4"/>
      <c r="O894" s="3"/>
      <c r="P894" s="4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6.5" customHeight="1" x14ac:dyDescent="0.3">
      <c r="A895" s="4"/>
      <c r="B895" s="4"/>
      <c r="C895" s="4"/>
      <c r="D895" s="3"/>
      <c r="E895" s="4"/>
      <c r="F895" s="4"/>
      <c r="G895" s="4"/>
      <c r="H895" s="4"/>
      <c r="I895" s="3"/>
      <c r="J895" s="3"/>
      <c r="K895" s="3"/>
      <c r="L895" s="4"/>
      <c r="M895" s="4"/>
      <c r="N895" s="4"/>
      <c r="O895" s="3"/>
      <c r="P895" s="4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6.5" customHeight="1" x14ac:dyDescent="0.3">
      <c r="A896" s="4"/>
      <c r="B896" s="4"/>
      <c r="C896" s="4"/>
      <c r="D896" s="3"/>
      <c r="E896" s="4"/>
      <c r="F896" s="4"/>
      <c r="G896" s="4"/>
      <c r="H896" s="4"/>
      <c r="I896" s="3"/>
      <c r="J896" s="3"/>
      <c r="K896" s="3"/>
      <c r="L896" s="4"/>
      <c r="M896" s="4"/>
      <c r="N896" s="4"/>
      <c r="O896" s="3"/>
      <c r="P896" s="4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6.5" customHeight="1" x14ac:dyDescent="0.3">
      <c r="A897" s="4"/>
      <c r="B897" s="4"/>
      <c r="C897" s="4"/>
      <c r="D897" s="3"/>
      <c r="E897" s="4"/>
      <c r="F897" s="4"/>
      <c r="G897" s="4"/>
      <c r="H897" s="4"/>
      <c r="I897" s="3"/>
      <c r="J897" s="3"/>
      <c r="K897" s="3"/>
      <c r="L897" s="4"/>
      <c r="M897" s="4"/>
      <c r="N897" s="4"/>
      <c r="O897" s="3"/>
      <c r="P897" s="4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6.5" customHeight="1" x14ac:dyDescent="0.3">
      <c r="A898" s="4"/>
      <c r="B898" s="4"/>
      <c r="C898" s="4"/>
      <c r="D898" s="3"/>
      <c r="E898" s="4"/>
      <c r="F898" s="4"/>
      <c r="G898" s="4"/>
      <c r="H898" s="4"/>
      <c r="I898" s="3"/>
      <c r="J898" s="3"/>
      <c r="K898" s="3"/>
      <c r="L898" s="4"/>
      <c r="M898" s="4"/>
      <c r="N898" s="4"/>
      <c r="O898" s="3"/>
      <c r="P898" s="4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6.5" customHeight="1" x14ac:dyDescent="0.3">
      <c r="A899" s="4"/>
      <c r="B899" s="4"/>
      <c r="C899" s="4"/>
      <c r="D899" s="3"/>
      <c r="E899" s="4"/>
      <c r="F899" s="4"/>
      <c r="G899" s="4"/>
      <c r="H899" s="4"/>
      <c r="I899" s="3"/>
      <c r="J899" s="3"/>
      <c r="K899" s="3"/>
      <c r="L899" s="4"/>
      <c r="M899" s="4"/>
      <c r="N899" s="4"/>
      <c r="O899" s="3"/>
      <c r="P899" s="4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6.5" customHeight="1" x14ac:dyDescent="0.3">
      <c r="A900" s="4"/>
      <c r="B900" s="4"/>
      <c r="C900" s="4"/>
      <c r="D900" s="3"/>
      <c r="E900" s="4"/>
      <c r="F900" s="4"/>
      <c r="G900" s="4"/>
      <c r="H900" s="4"/>
      <c r="I900" s="3"/>
      <c r="J900" s="3"/>
      <c r="K900" s="3"/>
      <c r="L900" s="4"/>
      <c r="M900" s="4"/>
      <c r="N900" s="4"/>
      <c r="O900" s="3"/>
      <c r="P900" s="4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6.5" customHeight="1" x14ac:dyDescent="0.3">
      <c r="A901" s="4"/>
      <c r="B901" s="4"/>
      <c r="C901" s="4"/>
      <c r="D901" s="3"/>
      <c r="E901" s="4"/>
      <c r="F901" s="4"/>
      <c r="G901" s="4"/>
      <c r="H901" s="4"/>
      <c r="I901" s="3"/>
      <c r="J901" s="3"/>
      <c r="K901" s="3"/>
      <c r="L901" s="4"/>
      <c r="M901" s="4"/>
      <c r="N901" s="4"/>
      <c r="O901" s="3"/>
      <c r="P901" s="4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6.5" customHeight="1" x14ac:dyDescent="0.3">
      <c r="A902" s="4"/>
      <c r="B902" s="4"/>
      <c r="C902" s="4"/>
      <c r="D902" s="3"/>
      <c r="E902" s="4"/>
      <c r="F902" s="4"/>
      <c r="G902" s="4"/>
      <c r="H902" s="4"/>
      <c r="I902" s="3"/>
      <c r="J902" s="3"/>
      <c r="K902" s="3"/>
      <c r="L902" s="4"/>
      <c r="M902" s="4"/>
      <c r="N902" s="4"/>
      <c r="O902" s="3"/>
      <c r="P902" s="4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6.5" customHeight="1" x14ac:dyDescent="0.3">
      <c r="A903" s="4"/>
      <c r="B903" s="4"/>
      <c r="C903" s="4"/>
      <c r="D903" s="3"/>
      <c r="E903" s="4"/>
      <c r="F903" s="4"/>
      <c r="G903" s="4"/>
      <c r="H903" s="4"/>
      <c r="I903" s="3"/>
      <c r="J903" s="3"/>
      <c r="K903" s="3"/>
      <c r="L903" s="4"/>
      <c r="M903" s="4"/>
      <c r="N903" s="4"/>
      <c r="O903" s="3"/>
      <c r="P903" s="4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6.5" customHeight="1" x14ac:dyDescent="0.3">
      <c r="A904" s="4"/>
      <c r="B904" s="4"/>
      <c r="C904" s="4"/>
      <c r="D904" s="3"/>
      <c r="E904" s="4"/>
      <c r="F904" s="4"/>
      <c r="G904" s="4"/>
      <c r="H904" s="4"/>
      <c r="I904" s="3"/>
      <c r="J904" s="3"/>
      <c r="K904" s="3"/>
      <c r="L904" s="4"/>
      <c r="M904" s="4"/>
      <c r="N904" s="4"/>
      <c r="O904" s="3"/>
      <c r="P904" s="4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6.5" customHeight="1" x14ac:dyDescent="0.3">
      <c r="A905" s="4"/>
      <c r="B905" s="4"/>
      <c r="C905" s="4"/>
      <c r="D905" s="3"/>
      <c r="E905" s="4"/>
      <c r="F905" s="4"/>
      <c r="G905" s="4"/>
      <c r="H905" s="4"/>
      <c r="I905" s="3"/>
      <c r="J905" s="3"/>
      <c r="K905" s="3"/>
      <c r="L905" s="4"/>
      <c r="M905" s="4"/>
      <c r="N905" s="4"/>
      <c r="O905" s="3"/>
      <c r="P905" s="4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6.5" customHeight="1" x14ac:dyDescent="0.3">
      <c r="A906" s="4"/>
      <c r="B906" s="4"/>
      <c r="C906" s="4"/>
      <c r="D906" s="3"/>
      <c r="E906" s="4"/>
      <c r="F906" s="4"/>
      <c r="G906" s="4"/>
      <c r="H906" s="4"/>
      <c r="I906" s="3"/>
      <c r="J906" s="3"/>
      <c r="K906" s="3"/>
      <c r="L906" s="4"/>
      <c r="M906" s="4"/>
      <c r="N906" s="4"/>
      <c r="O906" s="3"/>
      <c r="P906" s="4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6.5" customHeight="1" x14ac:dyDescent="0.3">
      <c r="A907" s="4"/>
      <c r="B907" s="4"/>
      <c r="C907" s="4"/>
      <c r="D907" s="3"/>
      <c r="E907" s="4"/>
      <c r="F907" s="4"/>
      <c r="G907" s="4"/>
      <c r="H907" s="4"/>
      <c r="I907" s="3"/>
      <c r="J907" s="3"/>
      <c r="K907" s="3"/>
      <c r="L907" s="4"/>
      <c r="M907" s="4"/>
      <c r="N907" s="4"/>
      <c r="O907" s="3"/>
      <c r="P907" s="4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6.5" customHeight="1" x14ac:dyDescent="0.3">
      <c r="A908" s="4"/>
      <c r="B908" s="4"/>
      <c r="C908" s="4"/>
      <c r="D908" s="3"/>
      <c r="E908" s="4"/>
      <c r="F908" s="4"/>
      <c r="G908" s="4"/>
      <c r="H908" s="4"/>
      <c r="I908" s="3"/>
      <c r="J908" s="3"/>
      <c r="K908" s="3"/>
      <c r="L908" s="4"/>
      <c r="M908" s="4"/>
      <c r="N908" s="4"/>
      <c r="O908" s="3"/>
      <c r="P908" s="4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6.5" customHeight="1" x14ac:dyDescent="0.3">
      <c r="A909" s="4"/>
      <c r="B909" s="4"/>
      <c r="C909" s="4"/>
      <c r="D909" s="3"/>
      <c r="E909" s="4"/>
      <c r="F909" s="4"/>
      <c r="G909" s="4"/>
      <c r="H909" s="4"/>
      <c r="I909" s="3"/>
      <c r="J909" s="3"/>
      <c r="K909" s="3"/>
      <c r="L909" s="4"/>
      <c r="M909" s="4"/>
      <c r="N909" s="4"/>
      <c r="O909" s="3"/>
      <c r="P909" s="4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6.5" customHeight="1" x14ac:dyDescent="0.3">
      <c r="A910" s="4"/>
      <c r="B910" s="4"/>
      <c r="C910" s="4"/>
      <c r="D910" s="3"/>
      <c r="E910" s="4"/>
      <c r="F910" s="4"/>
      <c r="G910" s="4"/>
      <c r="H910" s="4"/>
      <c r="I910" s="3"/>
      <c r="J910" s="3"/>
      <c r="K910" s="3"/>
      <c r="L910" s="4"/>
      <c r="M910" s="4"/>
      <c r="N910" s="4"/>
      <c r="O910" s="3"/>
      <c r="P910" s="4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6.5" customHeight="1" x14ac:dyDescent="0.3">
      <c r="A911" s="4"/>
      <c r="B911" s="4"/>
      <c r="C911" s="4"/>
      <c r="D911" s="3"/>
      <c r="E911" s="4"/>
      <c r="F911" s="4"/>
      <c r="G911" s="4"/>
      <c r="H911" s="4"/>
      <c r="I911" s="3"/>
      <c r="J911" s="3"/>
      <c r="K911" s="3"/>
      <c r="L911" s="4"/>
      <c r="M911" s="4"/>
      <c r="N911" s="4"/>
      <c r="O911" s="3"/>
      <c r="P911" s="4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6.5" customHeight="1" x14ac:dyDescent="0.3">
      <c r="A912" s="4"/>
      <c r="B912" s="4"/>
      <c r="C912" s="4"/>
      <c r="D912" s="3"/>
      <c r="E912" s="4"/>
      <c r="F912" s="4"/>
      <c r="G912" s="4"/>
      <c r="H912" s="4"/>
      <c r="I912" s="3"/>
      <c r="J912" s="3"/>
      <c r="K912" s="3"/>
      <c r="L912" s="4"/>
      <c r="M912" s="4"/>
      <c r="N912" s="4"/>
      <c r="O912" s="3"/>
      <c r="P912" s="4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6.5" customHeight="1" x14ac:dyDescent="0.3">
      <c r="A913" s="4"/>
      <c r="B913" s="4"/>
      <c r="C913" s="4"/>
      <c r="D913" s="3"/>
      <c r="E913" s="4"/>
      <c r="F913" s="4"/>
      <c r="G913" s="4"/>
      <c r="H913" s="4"/>
      <c r="I913" s="3"/>
      <c r="J913" s="3"/>
      <c r="K913" s="3"/>
      <c r="L913" s="4"/>
      <c r="M913" s="4"/>
      <c r="N913" s="4"/>
      <c r="O913" s="3"/>
      <c r="P913" s="4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6.5" customHeight="1" x14ac:dyDescent="0.3">
      <c r="A914" s="4"/>
      <c r="B914" s="4"/>
      <c r="C914" s="4"/>
      <c r="D914" s="3"/>
      <c r="E914" s="4"/>
      <c r="F914" s="4"/>
      <c r="G914" s="4"/>
      <c r="H914" s="4"/>
      <c r="I914" s="3"/>
      <c r="J914" s="3"/>
      <c r="K914" s="3"/>
      <c r="L914" s="4"/>
      <c r="M914" s="4"/>
      <c r="N914" s="4"/>
      <c r="O914" s="3"/>
      <c r="P914" s="4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6.5" customHeight="1" x14ac:dyDescent="0.3">
      <c r="A915" s="4"/>
      <c r="B915" s="4"/>
      <c r="C915" s="4"/>
      <c r="D915" s="3"/>
      <c r="E915" s="4"/>
      <c r="F915" s="4"/>
      <c r="G915" s="4"/>
      <c r="H915" s="4"/>
      <c r="I915" s="3"/>
      <c r="J915" s="3"/>
      <c r="K915" s="3"/>
      <c r="L915" s="4"/>
      <c r="M915" s="4"/>
      <c r="N915" s="4"/>
      <c r="O915" s="3"/>
      <c r="P915" s="4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6.5" customHeight="1" x14ac:dyDescent="0.3">
      <c r="A916" s="4"/>
      <c r="B916" s="4"/>
      <c r="C916" s="4"/>
      <c r="D916" s="3"/>
      <c r="E916" s="4"/>
      <c r="F916" s="4"/>
      <c r="G916" s="4"/>
      <c r="H916" s="4"/>
      <c r="I916" s="3"/>
      <c r="J916" s="3"/>
      <c r="K916" s="3"/>
      <c r="L916" s="4"/>
      <c r="M916" s="4"/>
      <c r="N916" s="4"/>
      <c r="O916" s="3"/>
      <c r="P916" s="4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6.5" customHeight="1" x14ac:dyDescent="0.3">
      <c r="A917" s="4"/>
      <c r="B917" s="4"/>
      <c r="C917" s="4"/>
      <c r="D917" s="3"/>
      <c r="E917" s="4"/>
      <c r="F917" s="4"/>
      <c r="G917" s="4"/>
      <c r="H917" s="4"/>
      <c r="I917" s="3"/>
      <c r="J917" s="3"/>
      <c r="K917" s="3"/>
      <c r="L917" s="4"/>
      <c r="M917" s="4"/>
      <c r="N917" s="4"/>
      <c r="O917" s="3"/>
      <c r="P917" s="4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6.5" customHeight="1" x14ac:dyDescent="0.3">
      <c r="A918" s="4"/>
      <c r="B918" s="4"/>
      <c r="C918" s="4"/>
      <c r="D918" s="3"/>
      <c r="E918" s="4"/>
      <c r="F918" s="4"/>
      <c r="G918" s="4"/>
      <c r="H918" s="4"/>
      <c r="I918" s="3"/>
      <c r="J918" s="3"/>
      <c r="K918" s="3"/>
      <c r="L918" s="4"/>
      <c r="M918" s="4"/>
      <c r="N918" s="4"/>
      <c r="O918" s="3"/>
      <c r="P918" s="4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6.5" customHeight="1" x14ac:dyDescent="0.3">
      <c r="A919" s="4"/>
      <c r="B919" s="4"/>
      <c r="C919" s="4"/>
      <c r="D919" s="3"/>
      <c r="E919" s="4"/>
      <c r="F919" s="4"/>
      <c r="G919" s="4"/>
      <c r="H919" s="4"/>
      <c r="I919" s="3"/>
      <c r="J919" s="3"/>
      <c r="K919" s="3"/>
      <c r="L919" s="4"/>
      <c r="M919" s="4"/>
      <c r="N919" s="4"/>
      <c r="O919" s="3"/>
      <c r="P919" s="4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6.5" customHeight="1" x14ac:dyDescent="0.3">
      <c r="A920" s="4"/>
      <c r="B920" s="4"/>
      <c r="C920" s="4"/>
      <c r="D920" s="3"/>
      <c r="E920" s="4"/>
      <c r="F920" s="4"/>
      <c r="G920" s="4"/>
      <c r="H920" s="4"/>
      <c r="I920" s="3"/>
      <c r="J920" s="3"/>
      <c r="K920" s="3"/>
      <c r="L920" s="4"/>
      <c r="M920" s="4"/>
      <c r="N920" s="4"/>
      <c r="O920" s="3"/>
      <c r="P920" s="4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6.5" customHeight="1" x14ac:dyDescent="0.3">
      <c r="A921" s="4"/>
      <c r="B921" s="4"/>
      <c r="C921" s="4"/>
      <c r="D921" s="3"/>
      <c r="E921" s="4"/>
      <c r="F921" s="4"/>
      <c r="G921" s="4"/>
      <c r="H921" s="4"/>
      <c r="I921" s="3"/>
      <c r="J921" s="3"/>
      <c r="K921" s="3"/>
      <c r="L921" s="4"/>
      <c r="M921" s="4"/>
      <c r="N921" s="4"/>
      <c r="O921" s="3"/>
      <c r="P921" s="4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6.5" customHeight="1" x14ac:dyDescent="0.3">
      <c r="A922" s="4"/>
      <c r="B922" s="4"/>
      <c r="C922" s="4"/>
      <c r="D922" s="3"/>
      <c r="E922" s="4"/>
      <c r="F922" s="4"/>
      <c r="G922" s="4"/>
      <c r="H922" s="4"/>
      <c r="I922" s="3"/>
      <c r="J922" s="3"/>
      <c r="K922" s="3"/>
      <c r="L922" s="4"/>
      <c r="M922" s="4"/>
      <c r="N922" s="4"/>
      <c r="O922" s="3"/>
      <c r="P922" s="4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6.5" customHeight="1" x14ac:dyDescent="0.3">
      <c r="A923" s="4"/>
      <c r="B923" s="4"/>
      <c r="C923" s="4"/>
      <c r="D923" s="3"/>
      <c r="E923" s="4"/>
      <c r="F923" s="4"/>
      <c r="G923" s="4"/>
      <c r="H923" s="4"/>
      <c r="I923" s="3"/>
      <c r="J923" s="3"/>
      <c r="K923" s="3"/>
      <c r="L923" s="4"/>
      <c r="M923" s="4"/>
      <c r="N923" s="4"/>
      <c r="O923" s="3"/>
      <c r="P923" s="4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6.5" customHeight="1" x14ac:dyDescent="0.3">
      <c r="A924" s="4"/>
      <c r="B924" s="4"/>
      <c r="C924" s="4"/>
      <c r="D924" s="3"/>
      <c r="E924" s="4"/>
      <c r="F924" s="4"/>
      <c r="G924" s="4"/>
      <c r="H924" s="4"/>
      <c r="I924" s="3"/>
      <c r="J924" s="3"/>
      <c r="K924" s="3"/>
      <c r="L924" s="4"/>
      <c r="M924" s="4"/>
      <c r="N924" s="4"/>
      <c r="O924" s="3"/>
      <c r="P924" s="4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6.5" customHeight="1" x14ac:dyDescent="0.3">
      <c r="A925" s="4"/>
      <c r="B925" s="4"/>
      <c r="C925" s="4"/>
      <c r="D925" s="3"/>
      <c r="E925" s="4"/>
      <c r="F925" s="4"/>
      <c r="G925" s="4"/>
      <c r="H925" s="4"/>
      <c r="I925" s="3"/>
      <c r="J925" s="3"/>
      <c r="K925" s="3"/>
      <c r="L925" s="4"/>
      <c r="M925" s="4"/>
      <c r="N925" s="4"/>
      <c r="O925" s="3"/>
      <c r="P925" s="4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6.5" customHeight="1" x14ac:dyDescent="0.3">
      <c r="A926" s="4"/>
      <c r="B926" s="4"/>
      <c r="C926" s="4"/>
      <c r="D926" s="3"/>
      <c r="E926" s="4"/>
      <c r="F926" s="4"/>
      <c r="G926" s="4"/>
      <c r="H926" s="4"/>
      <c r="I926" s="3"/>
      <c r="J926" s="3"/>
      <c r="K926" s="3"/>
      <c r="L926" s="4"/>
      <c r="M926" s="4"/>
      <c r="N926" s="4"/>
      <c r="O926" s="3"/>
      <c r="P926" s="4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6.5" customHeight="1" x14ac:dyDescent="0.3">
      <c r="A927" s="4"/>
      <c r="B927" s="4"/>
      <c r="C927" s="4"/>
      <c r="D927" s="3"/>
      <c r="E927" s="4"/>
      <c r="F927" s="4"/>
      <c r="G927" s="4"/>
      <c r="H927" s="4"/>
      <c r="I927" s="3"/>
      <c r="J927" s="3"/>
      <c r="K927" s="3"/>
      <c r="L927" s="4"/>
      <c r="M927" s="4"/>
      <c r="N927" s="4"/>
      <c r="O927" s="3"/>
      <c r="P927" s="4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6.5" customHeight="1" x14ac:dyDescent="0.3">
      <c r="A928" s="4"/>
      <c r="B928" s="4"/>
      <c r="C928" s="4"/>
      <c r="D928" s="3"/>
      <c r="E928" s="4"/>
      <c r="F928" s="4"/>
      <c r="G928" s="4"/>
      <c r="H928" s="4"/>
      <c r="I928" s="3"/>
      <c r="J928" s="3"/>
      <c r="K928" s="3"/>
      <c r="L928" s="4"/>
      <c r="M928" s="4"/>
      <c r="N928" s="4"/>
      <c r="O928" s="3"/>
      <c r="P928" s="4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6.5" customHeight="1" x14ac:dyDescent="0.3">
      <c r="A929" s="4"/>
      <c r="B929" s="4"/>
      <c r="C929" s="4"/>
      <c r="D929" s="3"/>
      <c r="E929" s="4"/>
      <c r="F929" s="4"/>
      <c r="G929" s="4"/>
      <c r="H929" s="4"/>
      <c r="I929" s="3"/>
      <c r="J929" s="3"/>
      <c r="K929" s="3"/>
      <c r="L929" s="4"/>
      <c r="M929" s="4"/>
      <c r="N929" s="4"/>
      <c r="O929" s="3"/>
      <c r="P929" s="4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6.5" customHeight="1" x14ac:dyDescent="0.3">
      <c r="A930" s="4"/>
      <c r="B930" s="4"/>
      <c r="C930" s="4"/>
      <c r="D930" s="3"/>
      <c r="E930" s="4"/>
      <c r="F930" s="4"/>
      <c r="G930" s="4"/>
      <c r="H930" s="4"/>
      <c r="I930" s="3"/>
      <c r="J930" s="3"/>
      <c r="K930" s="3"/>
      <c r="L930" s="4"/>
      <c r="M930" s="4"/>
      <c r="N930" s="4"/>
      <c r="O930" s="3"/>
      <c r="P930" s="4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6.5" customHeight="1" x14ac:dyDescent="0.3">
      <c r="A931" s="4"/>
      <c r="B931" s="4"/>
      <c r="C931" s="4"/>
      <c r="D931" s="3"/>
      <c r="E931" s="4"/>
      <c r="F931" s="4"/>
      <c r="G931" s="4"/>
      <c r="H931" s="4"/>
      <c r="I931" s="3"/>
      <c r="J931" s="3"/>
      <c r="K931" s="3"/>
      <c r="L931" s="4"/>
      <c r="M931" s="4"/>
      <c r="N931" s="4"/>
      <c r="O931" s="3"/>
      <c r="P931" s="4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6.5" customHeight="1" x14ac:dyDescent="0.3">
      <c r="A932" s="4"/>
      <c r="B932" s="4"/>
      <c r="C932" s="4"/>
      <c r="D932" s="3"/>
      <c r="E932" s="4"/>
      <c r="F932" s="4"/>
      <c r="G932" s="4"/>
      <c r="H932" s="4"/>
      <c r="I932" s="3"/>
      <c r="J932" s="3"/>
      <c r="K932" s="3"/>
      <c r="L932" s="4"/>
      <c r="M932" s="4"/>
      <c r="N932" s="4"/>
      <c r="O932" s="3"/>
      <c r="P932" s="4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6.5" customHeight="1" x14ac:dyDescent="0.3">
      <c r="A933" s="4"/>
      <c r="B933" s="4"/>
      <c r="C933" s="4"/>
      <c r="D933" s="3"/>
      <c r="E933" s="4"/>
      <c r="F933" s="4"/>
      <c r="G933" s="4"/>
      <c r="H933" s="4"/>
      <c r="I933" s="3"/>
      <c r="J933" s="3"/>
      <c r="K933" s="3"/>
      <c r="L933" s="4"/>
      <c r="M933" s="4"/>
      <c r="N933" s="4"/>
      <c r="O933" s="3"/>
      <c r="P933" s="4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6.5" customHeight="1" x14ac:dyDescent="0.3">
      <c r="A934" s="4"/>
      <c r="B934" s="4"/>
      <c r="C934" s="4"/>
      <c r="D934" s="3"/>
      <c r="E934" s="4"/>
      <c r="F934" s="4"/>
      <c r="G934" s="4"/>
      <c r="H934" s="4"/>
      <c r="I934" s="3"/>
      <c r="J934" s="3"/>
      <c r="K934" s="3"/>
      <c r="L934" s="4"/>
      <c r="M934" s="4"/>
      <c r="N934" s="4"/>
      <c r="O934" s="3"/>
      <c r="P934" s="4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6.5" customHeight="1" x14ac:dyDescent="0.3">
      <c r="A935" s="4"/>
      <c r="B935" s="4"/>
      <c r="C935" s="4"/>
      <c r="D935" s="3"/>
      <c r="E935" s="4"/>
      <c r="F935" s="4"/>
      <c r="G935" s="4"/>
      <c r="H935" s="4"/>
      <c r="I935" s="3"/>
      <c r="J935" s="3"/>
      <c r="K935" s="3"/>
      <c r="L935" s="4"/>
      <c r="M935" s="4"/>
      <c r="N935" s="4"/>
      <c r="O935" s="3"/>
      <c r="P935" s="4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6.5" customHeight="1" x14ac:dyDescent="0.3">
      <c r="A936" s="4"/>
      <c r="B936" s="4"/>
      <c r="C936" s="4"/>
      <c r="D936" s="3"/>
      <c r="E936" s="4"/>
      <c r="F936" s="4"/>
      <c r="G936" s="4"/>
      <c r="H936" s="4"/>
      <c r="I936" s="3"/>
      <c r="J936" s="3"/>
      <c r="K936" s="3"/>
      <c r="L936" s="4"/>
      <c r="M936" s="4"/>
      <c r="N936" s="4"/>
      <c r="O936" s="3"/>
      <c r="P936" s="4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6.5" customHeight="1" x14ac:dyDescent="0.3">
      <c r="A937" s="4"/>
      <c r="B937" s="4"/>
      <c r="C937" s="4"/>
      <c r="D937" s="3"/>
      <c r="E937" s="4"/>
      <c r="F937" s="4"/>
      <c r="G937" s="4"/>
      <c r="H937" s="4"/>
      <c r="I937" s="3"/>
      <c r="J937" s="3"/>
      <c r="K937" s="3"/>
      <c r="L937" s="4"/>
      <c r="M937" s="4"/>
      <c r="N937" s="4"/>
      <c r="O937" s="3"/>
      <c r="P937" s="4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6.5" customHeight="1" x14ac:dyDescent="0.3">
      <c r="A938" s="4"/>
      <c r="B938" s="4"/>
      <c r="C938" s="4"/>
      <c r="D938" s="3"/>
      <c r="E938" s="4"/>
      <c r="F938" s="4"/>
      <c r="G938" s="4"/>
      <c r="H938" s="4"/>
      <c r="I938" s="3"/>
      <c r="J938" s="3"/>
      <c r="K938" s="3"/>
      <c r="L938" s="4"/>
      <c r="M938" s="4"/>
      <c r="N938" s="4"/>
      <c r="O938" s="3"/>
      <c r="P938" s="4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6.5" customHeight="1" x14ac:dyDescent="0.3">
      <c r="A939" s="4"/>
      <c r="B939" s="4"/>
      <c r="C939" s="4"/>
      <c r="D939" s="3"/>
      <c r="E939" s="4"/>
      <c r="F939" s="4"/>
      <c r="G939" s="4"/>
      <c r="H939" s="4"/>
      <c r="I939" s="3"/>
      <c r="J939" s="3"/>
      <c r="K939" s="3"/>
      <c r="L939" s="4"/>
      <c r="M939" s="4"/>
      <c r="N939" s="4"/>
      <c r="O939" s="3"/>
      <c r="P939" s="4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6.5" customHeight="1" x14ac:dyDescent="0.3">
      <c r="A940" s="4"/>
      <c r="B940" s="4"/>
      <c r="C940" s="4"/>
      <c r="D940" s="3"/>
      <c r="E940" s="4"/>
      <c r="F940" s="4"/>
      <c r="G940" s="4"/>
      <c r="H940" s="4"/>
      <c r="I940" s="3"/>
      <c r="J940" s="3"/>
      <c r="K940" s="3"/>
      <c r="L940" s="4"/>
      <c r="M940" s="4"/>
      <c r="N940" s="4"/>
      <c r="O940" s="3"/>
      <c r="P940" s="4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6.5" customHeight="1" x14ac:dyDescent="0.3">
      <c r="A941" s="4"/>
      <c r="B941" s="4"/>
      <c r="C941" s="4"/>
      <c r="D941" s="3"/>
      <c r="E941" s="4"/>
      <c r="F941" s="4"/>
      <c r="G941" s="4"/>
      <c r="H941" s="4"/>
      <c r="I941" s="3"/>
      <c r="J941" s="3"/>
      <c r="K941" s="3"/>
      <c r="L941" s="4"/>
      <c r="M941" s="4"/>
      <c r="N941" s="4"/>
      <c r="O941" s="3"/>
      <c r="P941" s="4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6.5" customHeight="1" x14ac:dyDescent="0.3">
      <c r="A942" s="4"/>
      <c r="B942" s="4"/>
      <c r="C942" s="4"/>
      <c r="D942" s="3"/>
      <c r="E942" s="4"/>
      <c r="F942" s="4"/>
      <c r="G942" s="4"/>
      <c r="H942" s="4"/>
      <c r="I942" s="3"/>
      <c r="J942" s="3"/>
      <c r="K942" s="3"/>
      <c r="L942" s="4"/>
      <c r="M942" s="4"/>
      <c r="N942" s="4"/>
      <c r="O942" s="3"/>
      <c r="P942" s="4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6.5" customHeight="1" x14ac:dyDescent="0.3">
      <c r="A943" s="4"/>
      <c r="B943" s="4"/>
      <c r="C943" s="4"/>
      <c r="D943" s="3"/>
      <c r="E943" s="4"/>
      <c r="F943" s="4"/>
      <c r="G943" s="4"/>
      <c r="H943" s="4"/>
      <c r="I943" s="3"/>
      <c r="J943" s="3"/>
      <c r="K943" s="3"/>
      <c r="L943" s="4"/>
      <c r="M943" s="4"/>
      <c r="N943" s="4"/>
      <c r="O943" s="3"/>
      <c r="P943" s="4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6.5" customHeight="1" x14ac:dyDescent="0.3">
      <c r="A944" s="4"/>
      <c r="B944" s="4"/>
      <c r="C944" s="4"/>
      <c r="D944" s="3"/>
      <c r="E944" s="4"/>
      <c r="F944" s="4"/>
      <c r="G944" s="4"/>
      <c r="H944" s="4"/>
      <c r="I944" s="3"/>
      <c r="J944" s="3"/>
      <c r="K944" s="3"/>
      <c r="L944" s="4"/>
      <c r="M944" s="4"/>
      <c r="N944" s="4"/>
      <c r="O944" s="3"/>
      <c r="P944" s="4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6.5" customHeight="1" x14ac:dyDescent="0.3">
      <c r="A945" s="4"/>
      <c r="B945" s="4"/>
      <c r="C945" s="4"/>
      <c r="D945" s="3"/>
      <c r="E945" s="4"/>
      <c r="F945" s="4"/>
      <c r="G945" s="4"/>
      <c r="H945" s="4"/>
      <c r="I945" s="3"/>
      <c r="J945" s="3"/>
      <c r="K945" s="3"/>
      <c r="L945" s="4"/>
      <c r="M945" s="4"/>
      <c r="N945" s="4"/>
      <c r="O945" s="3"/>
      <c r="P945" s="4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6.5" customHeight="1" x14ac:dyDescent="0.3">
      <c r="A946" s="4"/>
      <c r="B946" s="4"/>
      <c r="C946" s="4"/>
      <c r="D946" s="3"/>
      <c r="E946" s="4"/>
      <c r="F946" s="4"/>
      <c r="G946" s="4"/>
      <c r="H946" s="4"/>
      <c r="I946" s="3"/>
      <c r="J946" s="3"/>
      <c r="K946" s="3"/>
      <c r="L946" s="4"/>
      <c r="M946" s="4"/>
      <c r="N946" s="4"/>
      <c r="O946" s="3"/>
      <c r="P946" s="4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6.5" customHeight="1" x14ac:dyDescent="0.3">
      <c r="A947" s="4"/>
      <c r="B947" s="4"/>
      <c r="C947" s="4"/>
      <c r="D947" s="3"/>
      <c r="E947" s="4"/>
      <c r="F947" s="4"/>
      <c r="G947" s="4"/>
      <c r="H947" s="4"/>
      <c r="I947" s="3"/>
      <c r="J947" s="3"/>
      <c r="K947" s="3"/>
      <c r="L947" s="4"/>
      <c r="M947" s="4"/>
      <c r="N947" s="4"/>
      <c r="O947" s="3"/>
      <c r="P947" s="4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6.5" customHeight="1" x14ac:dyDescent="0.3">
      <c r="A948" s="4"/>
      <c r="B948" s="4"/>
      <c r="C948" s="4"/>
      <c r="D948" s="3"/>
      <c r="E948" s="4"/>
      <c r="F948" s="4"/>
      <c r="G948" s="4"/>
      <c r="H948" s="4"/>
      <c r="I948" s="3"/>
      <c r="J948" s="3"/>
      <c r="K948" s="3"/>
      <c r="L948" s="4"/>
      <c r="M948" s="4"/>
      <c r="N948" s="4"/>
      <c r="O948" s="3"/>
      <c r="P948" s="4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6.5" customHeight="1" x14ac:dyDescent="0.3">
      <c r="A949" s="4"/>
      <c r="B949" s="4"/>
      <c r="C949" s="4"/>
      <c r="D949" s="3"/>
      <c r="E949" s="4"/>
      <c r="F949" s="4"/>
      <c r="G949" s="4"/>
      <c r="H949" s="4"/>
      <c r="I949" s="3"/>
      <c r="J949" s="3"/>
      <c r="K949" s="3"/>
      <c r="L949" s="4"/>
      <c r="M949" s="4"/>
      <c r="N949" s="4"/>
      <c r="O949" s="3"/>
      <c r="P949" s="4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6.5" customHeight="1" x14ac:dyDescent="0.3">
      <c r="A950" s="4"/>
      <c r="B950" s="4"/>
      <c r="C950" s="4"/>
      <c r="D950" s="3"/>
      <c r="E950" s="4"/>
      <c r="F950" s="4"/>
      <c r="G950" s="4"/>
      <c r="H950" s="4"/>
      <c r="I950" s="3"/>
      <c r="J950" s="3"/>
      <c r="K950" s="3"/>
      <c r="L950" s="4"/>
      <c r="M950" s="4"/>
      <c r="N950" s="4"/>
      <c r="O950" s="3"/>
      <c r="P950" s="4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6.5" customHeight="1" x14ac:dyDescent="0.3">
      <c r="A951" s="4"/>
      <c r="B951" s="4"/>
      <c r="C951" s="4"/>
      <c r="D951" s="3"/>
      <c r="E951" s="4"/>
      <c r="F951" s="4"/>
      <c r="G951" s="4"/>
      <c r="H951" s="4"/>
      <c r="I951" s="3"/>
      <c r="J951" s="3"/>
      <c r="K951" s="3"/>
      <c r="L951" s="4"/>
      <c r="M951" s="4"/>
      <c r="N951" s="4"/>
      <c r="O951" s="3"/>
      <c r="P951" s="4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6.5" customHeight="1" x14ac:dyDescent="0.3">
      <c r="A952" s="4"/>
      <c r="B952" s="4"/>
      <c r="C952" s="4"/>
      <c r="D952" s="3"/>
      <c r="E952" s="4"/>
      <c r="F952" s="4"/>
      <c r="G952" s="4"/>
      <c r="H952" s="4"/>
      <c r="I952" s="3"/>
      <c r="J952" s="3"/>
      <c r="K952" s="3"/>
      <c r="L952" s="4"/>
      <c r="M952" s="4"/>
      <c r="N952" s="4"/>
      <c r="O952" s="3"/>
      <c r="P952" s="4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6.5" customHeight="1" x14ac:dyDescent="0.3">
      <c r="A953" s="4"/>
      <c r="B953" s="4"/>
      <c r="C953" s="4"/>
      <c r="D953" s="3"/>
      <c r="E953" s="4"/>
      <c r="F953" s="4"/>
      <c r="G953" s="4"/>
      <c r="H953" s="4"/>
      <c r="I953" s="3"/>
      <c r="J953" s="3"/>
      <c r="K953" s="3"/>
      <c r="L953" s="4"/>
      <c r="M953" s="4"/>
      <c r="N953" s="4"/>
      <c r="O953" s="3"/>
      <c r="P953" s="4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6.5" customHeight="1" x14ac:dyDescent="0.3">
      <c r="A954" s="4"/>
      <c r="B954" s="4"/>
      <c r="C954" s="4"/>
      <c r="D954" s="3"/>
      <c r="E954" s="4"/>
      <c r="F954" s="4"/>
      <c r="G954" s="4"/>
      <c r="H954" s="4"/>
      <c r="I954" s="3"/>
      <c r="J954" s="3"/>
      <c r="K954" s="3"/>
      <c r="L954" s="4"/>
      <c r="M954" s="4"/>
      <c r="N954" s="4"/>
      <c r="O954" s="3"/>
      <c r="P954" s="4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6.5" customHeight="1" x14ac:dyDescent="0.3">
      <c r="A955" s="4"/>
      <c r="B955" s="4"/>
      <c r="C955" s="4"/>
      <c r="D955" s="3"/>
      <c r="E955" s="4"/>
      <c r="F955" s="4"/>
      <c r="G955" s="4"/>
      <c r="H955" s="4"/>
      <c r="I955" s="3"/>
      <c r="J955" s="3"/>
      <c r="K955" s="3"/>
      <c r="L955" s="4"/>
      <c r="M955" s="4"/>
      <c r="N955" s="4"/>
      <c r="O955" s="3"/>
      <c r="P955" s="4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6.5" customHeight="1" x14ac:dyDescent="0.3">
      <c r="A956" s="4"/>
      <c r="B956" s="4"/>
      <c r="C956" s="4"/>
      <c r="D956" s="3"/>
      <c r="E956" s="4"/>
      <c r="F956" s="4"/>
      <c r="G956" s="4"/>
      <c r="H956" s="4"/>
      <c r="I956" s="3"/>
      <c r="J956" s="3"/>
      <c r="K956" s="3"/>
      <c r="L956" s="4"/>
      <c r="M956" s="4"/>
      <c r="N956" s="4"/>
      <c r="O956" s="3"/>
      <c r="P956" s="4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6.5" customHeight="1" x14ac:dyDescent="0.3">
      <c r="A957" s="4"/>
      <c r="B957" s="4"/>
      <c r="C957" s="4"/>
      <c r="D957" s="3"/>
      <c r="E957" s="4"/>
      <c r="F957" s="4"/>
      <c r="G957" s="4"/>
      <c r="H957" s="4"/>
      <c r="I957" s="3"/>
      <c r="J957" s="3"/>
      <c r="K957" s="3"/>
      <c r="L957" s="4"/>
      <c r="M957" s="4"/>
      <c r="N957" s="4"/>
      <c r="O957" s="3"/>
      <c r="P957" s="4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6.5" customHeight="1" x14ac:dyDescent="0.3">
      <c r="A958" s="4"/>
      <c r="B958" s="4"/>
      <c r="C958" s="4"/>
      <c r="D958" s="3"/>
      <c r="E958" s="4"/>
      <c r="F958" s="4"/>
      <c r="G958" s="4"/>
      <c r="H958" s="4"/>
      <c r="I958" s="3"/>
      <c r="J958" s="3"/>
      <c r="K958" s="3"/>
      <c r="L958" s="4"/>
      <c r="M958" s="4"/>
      <c r="N958" s="4"/>
      <c r="O958" s="3"/>
      <c r="P958" s="4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6.5" customHeight="1" x14ac:dyDescent="0.3">
      <c r="A959" s="4"/>
      <c r="B959" s="4"/>
      <c r="C959" s="4"/>
      <c r="D959" s="3"/>
      <c r="E959" s="4"/>
      <c r="F959" s="4"/>
      <c r="G959" s="4"/>
      <c r="H959" s="4"/>
      <c r="I959" s="3"/>
      <c r="J959" s="3"/>
      <c r="K959" s="3"/>
      <c r="L959" s="4"/>
      <c r="M959" s="4"/>
      <c r="N959" s="4"/>
      <c r="O959" s="3"/>
      <c r="P959" s="4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6.5" customHeight="1" x14ac:dyDescent="0.3">
      <c r="A960" s="4"/>
      <c r="B960" s="4"/>
      <c r="C960" s="4"/>
      <c r="D960" s="3"/>
      <c r="E960" s="4"/>
      <c r="F960" s="4"/>
      <c r="G960" s="4"/>
      <c r="H960" s="4"/>
      <c r="I960" s="3"/>
      <c r="J960" s="3"/>
      <c r="K960" s="3"/>
      <c r="L960" s="4"/>
      <c r="M960" s="4"/>
      <c r="N960" s="4"/>
      <c r="O960" s="3"/>
      <c r="P960" s="4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6.5" customHeight="1" x14ac:dyDescent="0.3">
      <c r="A961" s="4"/>
      <c r="B961" s="4"/>
      <c r="C961" s="4"/>
      <c r="D961" s="3"/>
      <c r="E961" s="4"/>
      <c r="F961" s="4"/>
      <c r="G961" s="4"/>
      <c r="H961" s="4"/>
      <c r="I961" s="3"/>
      <c r="J961" s="3"/>
      <c r="K961" s="3"/>
      <c r="L961" s="4"/>
      <c r="M961" s="4"/>
      <c r="N961" s="4"/>
      <c r="O961" s="3"/>
      <c r="P961" s="4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6.5" customHeight="1" x14ac:dyDescent="0.3">
      <c r="A962" s="4"/>
      <c r="B962" s="4"/>
      <c r="C962" s="4"/>
      <c r="D962" s="3"/>
      <c r="E962" s="4"/>
      <c r="F962" s="4"/>
      <c r="G962" s="4"/>
      <c r="H962" s="4"/>
      <c r="I962" s="3"/>
      <c r="J962" s="3"/>
      <c r="K962" s="3"/>
      <c r="L962" s="4"/>
      <c r="M962" s="4"/>
      <c r="N962" s="4"/>
      <c r="O962" s="3"/>
      <c r="P962" s="4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6.5" customHeight="1" x14ac:dyDescent="0.3">
      <c r="A963" s="4"/>
      <c r="B963" s="4"/>
      <c r="C963" s="4"/>
      <c r="D963" s="3"/>
      <c r="E963" s="4"/>
      <c r="F963" s="4"/>
      <c r="G963" s="4"/>
      <c r="H963" s="4"/>
      <c r="I963" s="3"/>
      <c r="J963" s="3"/>
      <c r="K963" s="3"/>
      <c r="L963" s="4"/>
      <c r="M963" s="4"/>
      <c r="N963" s="4"/>
      <c r="O963" s="3"/>
      <c r="P963" s="4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6.5" customHeight="1" x14ac:dyDescent="0.3">
      <c r="A964" s="4"/>
      <c r="B964" s="4"/>
      <c r="C964" s="4"/>
      <c r="D964" s="3"/>
      <c r="E964" s="4"/>
      <c r="F964" s="4"/>
      <c r="G964" s="4"/>
      <c r="H964" s="4"/>
      <c r="I964" s="3"/>
      <c r="J964" s="3"/>
      <c r="K964" s="3"/>
      <c r="L964" s="4"/>
      <c r="M964" s="4"/>
      <c r="N964" s="4"/>
      <c r="O964" s="3"/>
      <c r="P964" s="4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6.5" customHeight="1" x14ac:dyDescent="0.3">
      <c r="A965" s="4"/>
      <c r="B965" s="4"/>
      <c r="C965" s="4"/>
      <c r="D965" s="3"/>
      <c r="E965" s="4"/>
      <c r="F965" s="4"/>
      <c r="G965" s="4"/>
      <c r="H965" s="4"/>
      <c r="I965" s="3"/>
      <c r="J965" s="3"/>
      <c r="K965" s="3"/>
      <c r="L965" s="4"/>
      <c r="M965" s="4"/>
      <c r="N965" s="4"/>
      <c r="O965" s="3"/>
      <c r="P965" s="4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6.5" customHeight="1" x14ac:dyDescent="0.3">
      <c r="A966" s="4"/>
      <c r="B966" s="4"/>
      <c r="C966" s="4"/>
      <c r="D966" s="3"/>
      <c r="E966" s="4"/>
      <c r="F966" s="4"/>
      <c r="G966" s="4"/>
      <c r="H966" s="4"/>
      <c r="I966" s="3"/>
      <c r="J966" s="3"/>
      <c r="K966" s="3"/>
      <c r="L966" s="4"/>
      <c r="M966" s="4"/>
      <c r="N966" s="4"/>
      <c r="O966" s="3"/>
      <c r="P966" s="4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6.5" customHeight="1" x14ac:dyDescent="0.3">
      <c r="A967" s="4"/>
      <c r="B967" s="4"/>
      <c r="C967" s="4"/>
      <c r="D967" s="3"/>
      <c r="E967" s="4"/>
      <c r="F967" s="4"/>
      <c r="G967" s="4"/>
      <c r="H967" s="4"/>
      <c r="I967" s="3"/>
      <c r="J967" s="3"/>
      <c r="K967" s="3"/>
      <c r="L967" s="4"/>
      <c r="M967" s="4"/>
      <c r="N967" s="4"/>
      <c r="O967" s="3"/>
      <c r="P967" s="4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6.5" customHeight="1" x14ac:dyDescent="0.3">
      <c r="A968" s="4"/>
      <c r="B968" s="4"/>
      <c r="C968" s="4"/>
      <c r="D968" s="3"/>
      <c r="E968" s="4"/>
      <c r="F968" s="4"/>
      <c r="G968" s="4"/>
      <c r="H968" s="4"/>
      <c r="I968" s="3"/>
      <c r="J968" s="3"/>
      <c r="K968" s="3"/>
      <c r="L968" s="4"/>
      <c r="M968" s="4"/>
      <c r="N968" s="4"/>
      <c r="O968" s="3"/>
      <c r="P968" s="4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6.5" customHeight="1" x14ac:dyDescent="0.3">
      <c r="A969" s="4"/>
      <c r="B969" s="4"/>
      <c r="C969" s="4"/>
      <c r="D969" s="3"/>
      <c r="E969" s="4"/>
      <c r="F969" s="4"/>
      <c r="G969" s="4"/>
      <c r="H969" s="4"/>
      <c r="I969" s="3"/>
      <c r="J969" s="3"/>
      <c r="K969" s="3"/>
      <c r="L969" s="4"/>
      <c r="M969" s="4"/>
      <c r="N969" s="4"/>
      <c r="O969" s="3"/>
      <c r="P969" s="4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6.5" customHeight="1" x14ac:dyDescent="0.3">
      <c r="A970" s="4"/>
      <c r="B970" s="4"/>
      <c r="C970" s="4"/>
      <c r="D970" s="3"/>
      <c r="E970" s="4"/>
      <c r="F970" s="4"/>
      <c r="G970" s="4"/>
      <c r="H970" s="4"/>
      <c r="I970" s="3"/>
      <c r="J970" s="3"/>
      <c r="K970" s="3"/>
      <c r="L970" s="4"/>
      <c r="M970" s="4"/>
      <c r="N970" s="4"/>
      <c r="O970" s="3"/>
      <c r="P970" s="4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6.5" customHeight="1" x14ac:dyDescent="0.3">
      <c r="A971" s="4"/>
      <c r="B971" s="4"/>
      <c r="C971" s="4"/>
      <c r="D971" s="3"/>
      <c r="E971" s="4"/>
      <c r="F971" s="4"/>
      <c r="G971" s="4"/>
      <c r="H971" s="4"/>
      <c r="I971" s="3"/>
      <c r="J971" s="3"/>
      <c r="K971" s="3"/>
      <c r="L971" s="4"/>
      <c r="M971" s="4"/>
      <c r="N971" s="4"/>
      <c r="O971" s="3"/>
      <c r="P971" s="4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6.5" customHeight="1" x14ac:dyDescent="0.3">
      <c r="A972" s="4"/>
      <c r="B972" s="4"/>
      <c r="C972" s="4"/>
      <c r="D972" s="3"/>
      <c r="E972" s="4"/>
      <c r="F972" s="4"/>
      <c r="G972" s="4"/>
      <c r="H972" s="4"/>
      <c r="I972" s="3"/>
      <c r="J972" s="3"/>
      <c r="K972" s="3"/>
      <c r="L972" s="4"/>
      <c r="M972" s="4"/>
      <c r="N972" s="4"/>
      <c r="O972" s="3"/>
      <c r="P972" s="4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6.5" customHeight="1" x14ac:dyDescent="0.3">
      <c r="A973" s="4"/>
      <c r="B973" s="4"/>
      <c r="C973" s="4"/>
      <c r="D973" s="3"/>
      <c r="E973" s="4"/>
      <c r="F973" s="4"/>
      <c r="G973" s="4"/>
      <c r="H973" s="4"/>
      <c r="I973" s="3"/>
      <c r="J973" s="3"/>
      <c r="K973" s="3"/>
      <c r="L973" s="4"/>
      <c r="M973" s="4"/>
      <c r="N973" s="4"/>
      <c r="O973" s="3"/>
      <c r="P973" s="4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6.5" customHeight="1" x14ac:dyDescent="0.3">
      <c r="A974" s="4"/>
      <c r="B974" s="4"/>
      <c r="C974" s="4"/>
      <c r="D974" s="3"/>
      <c r="E974" s="4"/>
      <c r="F974" s="4"/>
      <c r="G974" s="4"/>
      <c r="H974" s="4"/>
      <c r="I974" s="3"/>
      <c r="J974" s="3"/>
      <c r="K974" s="3"/>
      <c r="L974" s="4"/>
      <c r="M974" s="4"/>
      <c r="N974" s="4"/>
      <c r="O974" s="3"/>
      <c r="P974" s="4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6.5" customHeight="1" x14ac:dyDescent="0.3">
      <c r="A975" s="4"/>
      <c r="B975" s="4"/>
      <c r="C975" s="4"/>
      <c r="D975" s="3"/>
      <c r="E975" s="4"/>
      <c r="F975" s="4"/>
      <c r="G975" s="4"/>
      <c r="H975" s="4"/>
      <c r="I975" s="3"/>
      <c r="J975" s="3"/>
      <c r="K975" s="3"/>
      <c r="L975" s="4"/>
      <c r="M975" s="4"/>
      <c r="N975" s="4"/>
      <c r="O975" s="3"/>
      <c r="P975" s="4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6.5" customHeight="1" x14ac:dyDescent="0.3">
      <c r="A976" s="4"/>
      <c r="B976" s="4"/>
      <c r="C976" s="4"/>
      <c r="D976" s="3"/>
      <c r="E976" s="4"/>
      <c r="F976" s="4"/>
      <c r="G976" s="4"/>
      <c r="H976" s="4"/>
      <c r="I976" s="3"/>
      <c r="J976" s="3"/>
      <c r="K976" s="3"/>
      <c r="L976" s="4"/>
      <c r="M976" s="4"/>
      <c r="N976" s="4"/>
      <c r="O976" s="3"/>
      <c r="P976" s="4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6.5" customHeight="1" x14ac:dyDescent="0.3">
      <c r="A977" s="4"/>
      <c r="B977" s="4"/>
      <c r="C977" s="4"/>
      <c r="D977" s="3"/>
      <c r="E977" s="4"/>
      <c r="F977" s="4"/>
      <c r="G977" s="4"/>
      <c r="H977" s="4"/>
      <c r="I977" s="3"/>
      <c r="J977" s="3"/>
      <c r="K977" s="3"/>
      <c r="L977" s="4"/>
      <c r="M977" s="4"/>
      <c r="N977" s="4"/>
      <c r="O977" s="3"/>
      <c r="P977" s="4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6.5" customHeight="1" x14ac:dyDescent="0.3">
      <c r="A978" s="4"/>
      <c r="B978" s="4"/>
      <c r="C978" s="4"/>
      <c r="D978" s="3"/>
      <c r="E978" s="4"/>
      <c r="F978" s="4"/>
      <c r="G978" s="4"/>
      <c r="H978" s="4"/>
      <c r="I978" s="3"/>
      <c r="J978" s="3"/>
      <c r="K978" s="3"/>
      <c r="L978" s="4"/>
      <c r="M978" s="4"/>
      <c r="N978" s="4"/>
      <c r="O978" s="3"/>
      <c r="P978" s="4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6.5" customHeight="1" x14ac:dyDescent="0.3">
      <c r="A979" s="4"/>
      <c r="B979" s="4"/>
      <c r="C979" s="4"/>
      <c r="D979" s="3"/>
      <c r="E979" s="4"/>
      <c r="F979" s="4"/>
      <c r="G979" s="4"/>
      <c r="H979" s="4"/>
      <c r="I979" s="3"/>
      <c r="J979" s="3"/>
      <c r="K979" s="3"/>
      <c r="L979" s="4"/>
      <c r="M979" s="4"/>
      <c r="N979" s="4"/>
      <c r="O979" s="3"/>
      <c r="P979" s="4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6.5" customHeight="1" x14ac:dyDescent="0.3">
      <c r="A980" s="4"/>
      <c r="B980" s="4"/>
      <c r="C980" s="4"/>
      <c r="D980" s="3"/>
      <c r="E980" s="4"/>
      <c r="F980" s="4"/>
      <c r="G980" s="4"/>
      <c r="H980" s="4"/>
      <c r="I980" s="3"/>
      <c r="J980" s="3"/>
      <c r="K980" s="3"/>
      <c r="L980" s="4"/>
      <c r="M980" s="4"/>
      <c r="N980" s="4"/>
      <c r="O980" s="3"/>
      <c r="P980" s="4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6.5" customHeight="1" x14ac:dyDescent="0.3">
      <c r="A981" s="4"/>
      <c r="B981" s="4"/>
      <c r="C981" s="4"/>
      <c r="D981" s="3"/>
      <c r="E981" s="4"/>
      <c r="F981" s="4"/>
      <c r="G981" s="4"/>
      <c r="H981" s="4"/>
      <c r="I981" s="3"/>
      <c r="J981" s="3"/>
      <c r="K981" s="3"/>
      <c r="L981" s="4"/>
      <c r="M981" s="4"/>
      <c r="N981" s="4"/>
      <c r="O981" s="3"/>
      <c r="P981" s="4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6.5" customHeight="1" x14ac:dyDescent="0.3">
      <c r="A982" s="4"/>
      <c r="B982" s="4"/>
      <c r="C982" s="4"/>
      <c r="D982" s="3"/>
      <c r="E982" s="4"/>
      <c r="F982" s="4"/>
      <c r="G982" s="4"/>
      <c r="H982" s="4"/>
      <c r="I982" s="3"/>
      <c r="J982" s="3"/>
      <c r="K982" s="3"/>
      <c r="L982" s="4"/>
      <c r="M982" s="4"/>
      <c r="N982" s="4"/>
      <c r="O982" s="3"/>
      <c r="P982" s="4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6.5" customHeight="1" x14ac:dyDescent="0.3">
      <c r="A983" s="4"/>
      <c r="B983" s="4"/>
      <c r="C983" s="4"/>
      <c r="D983" s="3"/>
      <c r="E983" s="4"/>
      <c r="F983" s="4"/>
      <c r="G983" s="4"/>
      <c r="H983" s="4"/>
      <c r="I983" s="3"/>
      <c r="J983" s="3"/>
      <c r="K983" s="3"/>
      <c r="L983" s="4"/>
      <c r="M983" s="4"/>
      <c r="N983" s="4"/>
      <c r="O983" s="3"/>
      <c r="P983" s="4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6.5" customHeight="1" x14ac:dyDescent="0.3">
      <c r="A984" s="4"/>
      <c r="B984" s="4"/>
      <c r="C984" s="4"/>
      <c r="D984" s="3"/>
      <c r="E984" s="4"/>
      <c r="F984" s="4"/>
      <c r="G984" s="4"/>
      <c r="H984" s="4"/>
      <c r="I984" s="3"/>
      <c r="J984" s="3"/>
      <c r="K984" s="3"/>
      <c r="L984" s="4"/>
      <c r="M984" s="4"/>
      <c r="N984" s="4"/>
      <c r="O984" s="3"/>
      <c r="P984" s="4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6.5" customHeight="1" x14ac:dyDescent="0.3">
      <c r="A985" s="4"/>
      <c r="B985" s="4"/>
      <c r="C985" s="4"/>
      <c r="D985" s="3"/>
      <c r="E985" s="4"/>
      <c r="F985" s="4"/>
      <c r="G985" s="4"/>
      <c r="H985" s="4"/>
      <c r="I985" s="3"/>
      <c r="J985" s="3"/>
      <c r="K985" s="3"/>
      <c r="L985" s="4"/>
      <c r="M985" s="4"/>
      <c r="N985" s="4"/>
      <c r="O985" s="3"/>
      <c r="P985" s="4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6.5" customHeight="1" x14ac:dyDescent="0.3">
      <c r="A986" s="4"/>
      <c r="B986" s="4"/>
      <c r="C986" s="4"/>
      <c r="D986" s="3"/>
      <c r="E986" s="4"/>
      <c r="F986" s="4"/>
      <c r="G986" s="4"/>
      <c r="H986" s="4"/>
      <c r="I986" s="3"/>
      <c r="J986" s="3"/>
      <c r="K986" s="3"/>
      <c r="L986" s="4"/>
      <c r="M986" s="4"/>
      <c r="N986" s="4"/>
      <c r="O986" s="3"/>
      <c r="P986" s="4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6.5" customHeight="1" x14ac:dyDescent="0.3">
      <c r="A987" s="4"/>
      <c r="B987" s="4"/>
      <c r="C987" s="4"/>
      <c r="D987" s="3"/>
      <c r="E987" s="4"/>
      <c r="F987" s="4"/>
      <c r="G987" s="4"/>
      <c r="H987" s="4"/>
      <c r="I987" s="3"/>
      <c r="J987" s="3"/>
      <c r="K987" s="3"/>
      <c r="L987" s="4"/>
      <c r="M987" s="4"/>
      <c r="N987" s="4"/>
      <c r="O987" s="3"/>
      <c r="P987" s="4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6.5" customHeight="1" x14ac:dyDescent="0.3">
      <c r="A988" s="4"/>
      <c r="B988" s="4"/>
      <c r="C988" s="4"/>
      <c r="D988" s="3"/>
      <c r="E988" s="4"/>
      <c r="F988" s="4"/>
      <c r="G988" s="4"/>
      <c r="H988" s="4"/>
      <c r="I988" s="3"/>
      <c r="J988" s="3"/>
      <c r="K988" s="3"/>
      <c r="L988" s="4"/>
      <c r="M988" s="4"/>
      <c r="N988" s="4"/>
      <c r="O988" s="3"/>
      <c r="P988" s="4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6.5" customHeight="1" x14ac:dyDescent="0.3">
      <c r="A989" s="4"/>
      <c r="B989" s="4"/>
      <c r="C989" s="4"/>
      <c r="D989" s="3"/>
      <c r="E989" s="4"/>
      <c r="F989" s="4"/>
      <c r="G989" s="4"/>
      <c r="H989" s="4"/>
      <c r="I989" s="3"/>
      <c r="J989" s="3"/>
      <c r="K989" s="3"/>
      <c r="L989" s="4"/>
      <c r="M989" s="4"/>
      <c r="N989" s="4"/>
      <c r="O989" s="3"/>
      <c r="P989" s="4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6.5" customHeight="1" x14ac:dyDescent="0.3">
      <c r="A990" s="4"/>
      <c r="B990" s="4"/>
      <c r="C990" s="4"/>
      <c r="D990" s="3"/>
      <c r="E990" s="4"/>
      <c r="F990" s="4"/>
      <c r="G990" s="4"/>
      <c r="H990" s="4"/>
      <c r="I990" s="3"/>
      <c r="J990" s="3"/>
      <c r="K990" s="3"/>
      <c r="L990" s="4"/>
      <c r="M990" s="4"/>
      <c r="N990" s="4"/>
      <c r="O990" s="3"/>
      <c r="P990" s="4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6.5" customHeight="1" x14ac:dyDescent="0.3">
      <c r="A991" s="4"/>
      <c r="B991" s="4"/>
      <c r="C991" s="4"/>
      <c r="D991" s="3"/>
      <c r="E991" s="4"/>
      <c r="F991" s="4"/>
      <c r="G991" s="4"/>
      <c r="H991" s="4"/>
      <c r="I991" s="3"/>
      <c r="J991" s="3"/>
      <c r="K991" s="3"/>
      <c r="L991" s="4"/>
      <c r="M991" s="4"/>
      <c r="N991" s="4"/>
      <c r="O991" s="3"/>
      <c r="P991" s="4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6.5" customHeight="1" x14ac:dyDescent="0.3">
      <c r="A992" s="4"/>
      <c r="B992" s="4"/>
      <c r="C992" s="4"/>
      <c r="D992" s="3"/>
      <c r="E992" s="4"/>
      <c r="F992" s="4"/>
      <c r="G992" s="4"/>
      <c r="H992" s="4"/>
      <c r="I992" s="3"/>
      <c r="J992" s="3"/>
      <c r="K992" s="3"/>
      <c r="L992" s="4"/>
      <c r="M992" s="4"/>
      <c r="N992" s="4"/>
      <c r="O992" s="3"/>
      <c r="P992" s="4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6.5" customHeight="1" x14ac:dyDescent="0.3">
      <c r="A993" s="4"/>
      <c r="B993" s="4"/>
      <c r="C993" s="4"/>
      <c r="D993" s="3"/>
      <c r="E993" s="4"/>
      <c r="F993" s="4"/>
      <c r="G993" s="4"/>
      <c r="H993" s="4"/>
      <c r="I993" s="3"/>
      <c r="J993" s="3"/>
      <c r="K993" s="3"/>
      <c r="L993" s="4"/>
      <c r="M993" s="4"/>
      <c r="N993" s="4"/>
      <c r="O993" s="3"/>
      <c r="P993" s="4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6.5" customHeight="1" x14ac:dyDescent="0.3">
      <c r="A994" s="4"/>
      <c r="B994" s="4"/>
      <c r="C994" s="4"/>
      <c r="D994" s="3"/>
      <c r="E994" s="4"/>
      <c r="F994" s="4"/>
      <c r="G994" s="4"/>
      <c r="H994" s="4"/>
      <c r="I994" s="3"/>
      <c r="J994" s="3"/>
      <c r="K994" s="3"/>
      <c r="L994" s="4"/>
      <c r="M994" s="4"/>
      <c r="N994" s="4"/>
      <c r="O994" s="3"/>
      <c r="P994" s="4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6.5" customHeight="1" x14ac:dyDescent="0.3">
      <c r="A995" s="4"/>
      <c r="B995" s="4"/>
      <c r="C995" s="4"/>
      <c r="D995" s="3"/>
      <c r="E995" s="4"/>
      <c r="F995" s="4"/>
      <c r="G995" s="4"/>
      <c r="H995" s="4"/>
      <c r="I995" s="3"/>
      <c r="J995" s="3"/>
      <c r="K995" s="3"/>
      <c r="L995" s="4"/>
      <c r="M995" s="4"/>
      <c r="N995" s="4"/>
      <c r="O995" s="3"/>
      <c r="P995" s="4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6.5" customHeight="1" x14ac:dyDescent="0.3">
      <c r="A996" s="4"/>
      <c r="B996" s="4"/>
      <c r="C996" s="4"/>
      <c r="D996" s="3"/>
      <c r="E996" s="4"/>
      <c r="F996" s="4"/>
      <c r="G996" s="4"/>
      <c r="H996" s="4"/>
      <c r="I996" s="3"/>
      <c r="J996" s="3"/>
      <c r="K996" s="3"/>
      <c r="L996" s="4"/>
      <c r="M996" s="4"/>
      <c r="N996" s="4"/>
      <c r="O996" s="3"/>
      <c r="P996" s="4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6.5" customHeight="1" x14ac:dyDescent="0.3">
      <c r="A997" s="4"/>
      <c r="B997" s="4"/>
      <c r="C997" s="4"/>
      <c r="D997" s="3"/>
      <c r="E997" s="4"/>
      <c r="F997" s="4"/>
      <c r="G997" s="4"/>
      <c r="H997" s="4"/>
      <c r="I997" s="3"/>
      <c r="J997" s="3"/>
      <c r="K997" s="3"/>
      <c r="L997" s="4"/>
      <c r="M997" s="4"/>
      <c r="N997" s="4"/>
      <c r="O997" s="3"/>
      <c r="P997" s="4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6.5" customHeight="1" x14ac:dyDescent="0.3">
      <c r="A998" s="4"/>
      <c r="B998" s="4"/>
      <c r="C998" s="4"/>
      <c r="D998" s="3"/>
      <c r="E998" s="4"/>
      <c r="F998" s="4"/>
      <c r="G998" s="4"/>
      <c r="H998" s="4"/>
      <c r="I998" s="3"/>
      <c r="J998" s="3"/>
      <c r="K998" s="3"/>
      <c r="L998" s="4"/>
      <c r="M998" s="4"/>
      <c r="N998" s="4"/>
      <c r="O998" s="3"/>
      <c r="P998" s="4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6.5" customHeight="1" x14ac:dyDescent="0.3">
      <c r="A999" s="4"/>
      <c r="B999" s="4"/>
      <c r="C999" s="4"/>
      <c r="D999" s="3"/>
      <c r="E999" s="4"/>
      <c r="F999" s="4"/>
      <c r="G999" s="4"/>
      <c r="H999" s="4"/>
      <c r="I999" s="3"/>
      <c r="J999" s="3"/>
      <c r="K999" s="3"/>
      <c r="L999" s="4"/>
      <c r="M999" s="4"/>
      <c r="N999" s="4"/>
      <c r="O999" s="3"/>
      <c r="P999" s="4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6.5" customHeight="1" x14ac:dyDescent="0.3">
      <c r="A1000" s="4"/>
      <c r="B1000" s="4"/>
      <c r="C1000" s="4"/>
      <c r="D1000" s="3"/>
      <c r="E1000" s="4"/>
      <c r="F1000" s="4"/>
      <c r="G1000" s="4"/>
      <c r="H1000" s="4"/>
      <c r="I1000" s="3"/>
      <c r="J1000" s="3"/>
      <c r="K1000" s="3"/>
      <c r="L1000" s="4"/>
      <c r="M1000" s="4"/>
      <c r="N1000" s="4"/>
      <c r="O1000" s="3"/>
      <c r="P1000" s="4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E4B09-2117-42A9-9A5E-B3C79AB83856}">
  <dimension ref="A1:N483"/>
  <sheetViews>
    <sheetView topLeftCell="A46" workbookViewId="0">
      <selection activeCell="A3" sqref="A3:N483"/>
    </sheetView>
  </sheetViews>
  <sheetFormatPr defaultRowHeight="14.4" x14ac:dyDescent="0.3"/>
  <cols>
    <col min="1" max="1" width="10.33203125" bestFit="1" customWidth="1"/>
    <col min="2" max="3" width="9" bestFit="1" customWidth="1"/>
    <col min="4" max="4" width="19.33203125" bestFit="1" customWidth="1"/>
    <col min="5" max="5" width="15.5546875" bestFit="1" customWidth="1"/>
    <col min="6" max="6" width="11.33203125" bestFit="1" customWidth="1"/>
    <col min="7" max="7" width="13" bestFit="1" customWidth="1"/>
    <col min="8" max="8" width="9.21875" bestFit="1" customWidth="1"/>
    <col min="9" max="9" width="14.21875" bestFit="1" customWidth="1"/>
    <col min="10" max="10" width="11.77734375" bestFit="1" customWidth="1"/>
    <col min="11" max="11" width="15.88671875" bestFit="1" customWidth="1"/>
    <col min="12" max="12" width="10.88671875" bestFit="1" customWidth="1"/>
    <col min="13" max="13" width="17.21875" bestFit="1" customWidth="1"/>
    <col min="14" max="14" width="15.33203125" bestFit="1" customWidth="1"/>
  </cols>
  <sheetData>
    <row r="1" spans="1:14" x14ac:dyDescent="0.3">
      <c r="A1" s="63" t="s">
        <v>94</v>
      </c>
    </row>
    <row r="3" spans="1:14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</row>
    <row r="4" spans="1:14" x14ac:dyDescent="0.3">
      <c r="A4" s="62">
        <v>44927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91</v>
      </c>
      <c r="H4" t="s">
        <v>19</v>
      </c>
      <c r="I4">
        <v>3125</v>
      </c>
      <c r="J4">
        <v>0.3</v>
      </c>
      <c r="K4">
        <v>937.5</v>
      </c>
      <c r="L4" t="s">
        <v>20</v>
      </c>
      <c r="M4" t="s">
        <v>21</v>
      </c>
      <c r="N4" t="s">
        <v>22</v>
      </c>
    </row>
    <row r="5" spans="1:14" x14ac:dyDescent="0.3">
      <c r="A5" s="62">
        <v>44927</v>
      </c>
      <c r="B5" t="s">
        <v>14</v>
      </c>
      <c r="C5" t="s">
        <v>15</v>
      </c>
      <c r="D5" t="s">
        <v>23</v>
      </c>
      <c r="E5" t="s">
        <v>24</v>
      </c>
      <c r="F5" t="s">
        <v>25</v>
      </c>
      <c r="G5" t="s">
        <v>91</v>
      </c>
      <c r="H5" t="s">
        <v>26</v>
      </c>
      <c r="I5">
        <v>3635</v>
      </c>
      <c r="J5">
        <v>0.25</v>
      </c>
      <c r="K5">
        <v>908.75</v>
      </c>
      <c r="L5" t="s">
        <v>27</v>
      </c>
      <c r="M5" t="s">
        <v>25</v>
      </c>
      <c r="N5" t="s">
        <v>22</v>
      </c>
    </row>
    <row r="6" spans="1:14" x14ac:dyDescent="0.3">
      <c r="A6" s="62">
        <v>44927</v>
      </c>
      <c r="B6" t="s">
        <v>14</v>
      </c>
      <c r="C6" t="s">
        <v>15</v>
      </c>
      <c r="D6" t="s">
        <v>28</v>
      </c>
      <c r="E6" t="s">
        <v>24</v>
      </c>
      <c r="F6" t="s">
        <v>18</v>
      </c>
      <c r="G6" t="s">
        <v>91</v>
      </c>
      <c r="H6" t="s">
        <v>29</v>
      </c>
      <c r="I6">
        <v>3291</v>
      </c>
      <c r="J6">
        <v>0.3</v>
      </c>
      <c r="K6">
        <v>987.3</v>
      </c>
      <c r="L6" t="s">
        <v>20</v>
      </c>
      <c r="M6" t="s">
        <v>25</v>
      </c>
      <c r="N6" t="s">
        <v>30</v>
      </c>
    </row>
    <row r="7" spans="1:14" x14ac:dyDescent="0.3">
      <c r="A7" s="62">
        <v>44928</v>
      </c>
      <c r="B7" t="s">
        <v>14</v>
      </c>
      <c r="C7" t="s">
        <v>15</v>
      </c>
      <c r="D7" t="s">
        <v>31</v>
      </c>
      <c r="E7" t="s">
        <v>24</v>
      </c>
      <c r="F7" t="s">
        <v>32</v>
      </c>
      <c r="G7" t="s">
        <v>90</v>
      </c>
      <c r="H7" t="s">
        <v>33</v>
      </c>
      <c r="I7">
        <v>3668</v>
      </c>
      <c r="J7">
        <v>0.4</v>
      </c>
      <c r="K7">
        <v>1467.2</v>
      </c>
      <c r="L7" t="s">
        <v>27</v>
      </c>
      <c r="M7" t="s">
        <v>25</v>
      </c>
      <c r="N7" t="s">
        <v>34</v>
      </c>
    </row>
    <row r="8" spans="1:14" x14ac:dyDescent="0.3">
      <c r="A8" s="62">
        <v>44933</v>
      </c>
      <c r="B8" t="s">
        <v>14</v>
      </c>
      <c r="C8" t="s">
        <v>15</v>
      </c>
      <c r="D8" t="s">
        <v>35</v>
      </c>
      <c r="E8" t="s">
        <v>24</v>
      </c>
      <c r="F8" t="s">
        <v>25</v>
      </c>
      <c r="G8" t="s">
        <v>91</v>
      </c>
      <c r="H8" t="s">
        <v>33</v>
      </c>
      <c r="I8">
        <v>3970</v>
      </c>
      <c r="J8">
        <v>0.25</v>
      </c>
      <c r="K8">
        <v>992.5</v>
      </c>
      <c r="L8" t="s">
        <v>20</v>
      </c>
      <c r="M8" t="s">
        <v>21</v>
      </c>
      <c r="N8" t="s">
        <v>34</v>
      </c>
    </row>
    <row r="9" spans="1:14" x14ac:dyDescent="0.3">
      <c r="A9" s="62">
        <v>44938</v>
      </c>
      <c r="B9" t="s">
        <v>14</v>
      </c>
      <c r="C9" t="s">
        <v>15</v>
      </c>
      <c r="D9" t="s">
        <v>36</v>
      </c>
      <c r="E9" t="s">
        <v>17</v>
      </c>
      <c r="F9" t="s">
        <v>18</v>
      </c>
      <c r="G9" t="s">
        <v>91</v>
      </c>
      <c r="H9" t="s">
        <v>29</v>
      </c>
      <c r="I9">
        <v>2739</v>
      </c>
      <c r="J9">
        <v>0.3</v>
      </c>
      <c r="K9">
        <v>821.69999999999993</v>
      </c>
      <c r="L9" t="s">
        <v>27</v>
      </c>
      <c r="M9" t="s">
        <v>25</v>
      </c>
      <c r="N9" t="s">
        <v>37</v>
      </c>
    </row>
    <row r="10" spans="1:14" x14ac:dyDescent="0.3">
      <c r="A10" s="62">
        <v>44938</v>
      </c>
      <c r="B10" t="s">
        <v>14</v>
      </c>
      <c r="C10" t="s">
        <v>15</v>
      </c>
      <c r="D10" t="s">
        <v>38</v>
      </c>
      <c r="E10" t="s">
        <v>24</v>
      </c>
      <c r="F10" t="s">
        <v>39</v>
      </c>
      <c r="G10" t="s">
        <v>90</v>
      </c>
      <c r="H10" t="s">
        <v>33</v>
      </c>
      <c r="I10">
        <v>2420</v>
      </c>
      <c r="J10">
        <v>0.35</v>
      </c>
      <c r="K10">
        <v>847</v>
      </c>
      <c r="L10" t="s">
        <v>20</v>
      </c>
      <c r="M10" t="s">
        <v>21</v>
      </c>
      <c r="N10" t="s">
        <v>30</v>
      </c>
    </row>
    <row r="11" spans="1:14" x14ac:dyDescent="0.3">
      <c r="A11" s="62">
        <v>44939</v>
      </c>
      <c r="B11" t="s">
        <v>14</v>
      </c>
      <c r="C11" t="s">
        <v>15</v>
      </c>
      <c r="D11" t="s">
        <v>40</v>
      </c>
      <c r="E11" t="s">
        <v>17</v>
      </c>
      <c r="F11" t="s">
        <v>41</v>
      </c>
      <c r="G11" t="s">
        <v>89</v>
      </c>
      <c r="H11" t="s">
        <v>42</v>
      </c>
      <c r="I11">
        <v>4802</v>
      </c>
      <c r="J11">
        <v>0.25</v>
      </c>
      <c r="K11">
        <v>1200.5</v>
      </c>
      <c r="L11" t="s">
        <v>20</v>
      </c>
      <c r="M11" t="s">
        <v>21</v>
      </c>
      <c r="N11" t="s">
        <v>22</v>
      </c>
    </row>
    <row r="12" spans="1:14" x14ac:dyDescent="0.3">
      <c r="A12" s="62">
        <v>44940</v>
      </c>
      <c r="B12" t="s">
        <v>14</v>
      </c>
      <c r="C12" t="s">
        <v>15</v>
      </c>
      <c r="D12" t="s">
        <v>40</v>
      </c>
      <c r="E12" t="s">
        <v>17</v>
      </c>
      <c r="F12" t="s">
        <v>32</v>
      </c>
      <c r="G12" t="s">
        <v>90</v>
      </c>
      <c r="H12" t="s">
        <v>19</v>
      </c>
      <c r="I12">
        <v>2620</v>
      </c>
      <c r="J12">
        <v>0.4</v>
      </c>
      <c r="K12">
        <v>1048</v>
      </c>
      <c r="L12" t="s">
        <v>27</v>
      </c>
      <c r="M12" t="s">
        <v>25</v>
      </c>
      <c r="N12" t="s">
        <v>30</v>
      </c>
    </row>
    <row r="13" spans="1:14" x14ac:dyDescent="0.3">
      <c r="A13" s="62">
        <v>44942</v>
      </c>
      <c r="B13" t="s">
        <v>14</v>
      </c>
      <c r="C13" t="s">
        <v>15</v>
      </c>
      <c r="D13" t="s">
        <v>43</v>
      </c>
      <c r="E13" t="s">
        <v>24</v>
      </c>
      <c r="F13" t="s">
        <v>39</v>
      </c>
      <c r="G13" t="s">
        <v>90</v>
      </c>
      <c r="H13" t="s">
        <v>19</v>
      </c>
      <c r="I13">
        <v>5593</v>
      </c>
      <c r="J13">
        <v>0.35</v>
      </c>
      <c r="K13">
        <v>1957.55</v>
      </c>
      <c r="L13" t="s">
        <v>20</v>
      </c>
      <c r="M13" t="s">
        <v>25</v>
      </c>
      <c r="N13" t="s">
        <v>34</v>
      </c>
    </row>
    <row r="14" spans="1:14" x14ac:dyDescent="0.3">
      <c r="A14" s="62">
        <v>44944</v>
      </c>
      <c r="B14" t="s">
        <v>14</v>
      </c>
      <c r="C14" t="s">
        <v>15</v>
      </c>
      <c r="D14" t="s">
        <v>40</v>
      </c>
      <c r="E14" t="s">
        <v>17</v>
      </c>
      <c r="F14" t="s">
        <v>25</v>
      </c>
      <c r="G14" t="s">
        <v>91</v>
      </c>
      <c r="H14" t="s">
        <v>19</v>
      </c>
      <c r="I14">
        <v>3237</v>
      </c>
      <c r="J14">
        <v>0.25</v>
      </c>
      <c r="K14">
        <v>809.25</v>
      </c>
      <c r="L14" t="s">
        <v>20</v>
      </c>
      <c r="M14" t="s">
        <v>21</v>
      </c>
      <c r="N14" t="s">
        <v>34</v>
      </c>
    </row>
    <row r="15" spans="1:14" x14ac:dyDescent="0.3">
      <c r="A15" s="62">
        <v>44944</v>
      </c>
      <c r="B15" t="s">
        <v>14</v>
      </c>
      <c r="C15" t="s">
        <v>15</v>
      </c>
      <c r="D15" t="s">
        <v>44</v>
      </c>
      <c r="E15" t="s">
        <v>24</v>
      </c>
      <c r="F15" t="s">
        <v>18</v>
      </c>
      <c r="G15" t="s">
        <v>91</v>
      </c>
      <c r="H15" t="s">
        <v>19</v>
      </c>
      <c r="I15">
        <v>4985</v>
      </c>
      <c r="J15">
        <v>0.3</v>
      </c>
      <c r="K15">
        <v>1495.5</v>
      </c>
      <c r="L15" t="s">
        <v>20</v>
      </c>
      <c r="M15" t="s">
        <v>21</v>
      </c>
      <c r="N15" t="s">
        <v>22</v>
      </c>
    </row>
    <row r="16" spans="1:14" x14ac:dyDescent="0.3">
      <c r="A16" s="62">
        <v>44945</v>
      </c>
      <c r="B16" t="s">
        <v>14</v>
      </c>
      <c r="C16" t="s">
        <v>15</v>
      </c>
      <c r="D16" t="s">
        <v>45</v>
      </c>
      <c r="E16" t="s">
        <v>17</v>
      </c>
      <c r="F16" t="s">
        <v>39</v>
      </c>
      <c r="G16" t="s">
        <v>90</v>
      </c>
      <c r="H16" t="s">
        <v>29</v>
      </c>
      <c r="I16">
        <v>3886</v>
      </c>
      <c r="J16">
        <v>0.35</v>
      </c>
      <c r="K16">
        <v>1360.1</v>
      </c>
      <c r="L16" t="s">
        <v>20</v>
      </c>
      <c r="M16" t="s">
        <v>46</v>
      </c>
      <c r="N16" t="s">
        <v>22</v>
      </c>
    </row>
    <row r="17" spans="1:14" x14ac:dyDescent="0.3">
      <c r="A17" s="62">
        <v>44945</v>
      </c>
      <c r="B17" t="s">
        <v>14</v>
      </c>
      <c r="C17" t="s">
        <v>15</v>
      </c>
      <c r="D17" t="s">
        <v>47</v>
      </c>
      <c r="E17" t="s">
        <v>24</v>
      </c>
      <c r="F17" t="s">
        <v>41</v>
      </c>
      <c r="G17" t="s">
        <v>89</v>
      </c>
      <c r="H17" t="s">
        <v>42</v>
      </c>
      <c r="I17">
        <v>2585</v>
      </c>
      <c r="J17">
        <v>0.25</v>
      </c>
      <c r="K17">
        <v>646.25</v>
      </c>
      <c r="L17" t="s">
        <v>27</v>
      </c>
      <c r="M17" t="s">
        <v>25</v>
      </c>
      <c r="N17" t="s">
        <v>30</v>
      </c>
    </row>
    <row r="18" spans="1:14" x14ac:dyDescent="0.3">
      <c r="A18" s="62">
        <v>44947</v>
      </c>
      <c r="B18" t="s">
        <v>14</v>
      </c>
      <c r="C18" t="s">
        <v>15</v>
      </c>
      <c r="D18" t="s">
        <v>48</v>
      </c>
      <c r="E18" t="s">
        <v>17</v>
      </c>
      <c r="F18" t="s">
        <v>25</v>
      </c>
      <c r="G18" t="s">
        <v>91</v>
      </c>
      <c r="H18" t="s">
        <v>19</v>
      </c>
      <c r="I18">
        <v>4826</v>
      </c>
      <c r="J18">
        <v>0.25</v>
      </c>
      <c r="K18">
        <v>1206.5</v>
      </c>
      <c r="L18" t="s">
        <v>27</v>
      </c>
      <c r="M18" t="s">
        <v>25</v>
      </c>
      <c r="N18" t="s">
        <v>22</v>
      </c>
    </row>
    <row r="19" spans="1:14" x14ac:dyDescent="0.3">
      <c r="A19" s="62">
        <v>44948</v>
      </c>
      <c r="B19" t="s">
        <v>14</v>
      </c>
      <c r="C19" t="s">
        <v>15</v>
      </c>
      <c r="D19" t="s">
        <v>49</v>
      </c>
      <c r="E19" t="s">
        <v>17</v>
      </c>
      <c r="F19" t="s">
        <v>32</v>
      </c>
      <c r="G19" t="s">
        <v>90</v>
      </c>
      <c r="H19" t="s">
        <v>26</v>
      </c>
      <c r="I19">
        <v>2952</v>
      </c>
      <c r="J19">
        <v>0.4</v>
      </c>
      <c r="K19">
        <v>1180.8</v>
      </c>
      <c r="L19" t="s">
        <v>27</v>
      </c>
      <c r="M19" t="s">
        <v>46</v>
      </c>
      <c r="N19" t="s">
        <v>30</v>
      </c>
    </row>
    <row r="20" spans="1:14" x14ac:dyDescent="0.3">
      <c r="A20" s="62">
        <v>44953</v>
      </c>
      <c r="B20" t="s">
        <v>14</v>
      </c>
      <c r="C20" t="s">
        <v>15</v>
      </c>
      <c r="D20" t="s">
        <v>50</v>
      </c>
      <c r="E20" t="s">
        <v>17</v>
      </c>
      <c r="F20" t="s">
        <v>32</v>
      </c>
      <c r="G20" t="s">
        <v>90</v>
      </c>
      <c r="H20" t="s">
        <v>33</v>
      </c>
      <c r="I20">
        <v>3704</v>
      </c>
      <c r="J20">
        <v>0.4</v>
      </c>
      <c r="K20">
        <v>1481.6000000000001</v>
      </c>
      <c r="L20" t="s">
        <v>20</v>
      </c>
      <c r="M20" t="s">
        <v>25</v>
      </c>
      <c r="N20" t="s">
        <v>30</v>
      </c>
    </row>
    <row r="21" spans="1:14" x14ac:dyDescent="0.3">
      <c r="A21" s="62">
        <v>44954</v>
      </c>
      <c r="B21" t="s">
        <v>14</v>
      </c>
      <c r="C21" t="s">
        <v>15</v>
      </c>
      <c r="D21" t="s">
        <v>51</v>
      </c>
      <c r="E21" t="s">
        <v>24</v>
      </c>
      <c r="F21" t="s">
        <v>18</v>
      </c>
      <c r="G21" t="s">
        <v>91</v>
      </c>
      <c r="H21" t="s">
        <v>29</v>
      </c>
      <c r="I21">
        <v>3999</v>
      </c>
      <c r="J21">
        <v>0.3</v>
      </c>
      <c r="K21">
        <v>1199.7</v>
      </c>
      <c r="L21" t="s">
        <v>20</v>
      </c>
      <c r="M21" t="s">
        <v>25</v>
      </c>
      <c r="N21" t="s">
        <v>34</v>
      </c>
    </row>
    <row r="22" spans="1:14" x14ac:dyDescent="0.3">
      <c r="A22" s="62">
        <v>44955</v>
      </c>
      <c r="B22" t="s">
        <v>14</v>
      </c>
      <c r="C22" t="s">
        <v>15</v>
      </c>
      <c r="D22" t="s">
        <v>44</v>
      </c>
      <c r="E22" t="s">
        <v>24</v>
      </c>
      <c r="F22" t="s">
        <v>39</v>
      </c>
      <c r="G22" t="s">
        <v>90</v>
      </c>
      <c r="H22" t="s">
        <v>29</v>
      </c>
      <c r="I22">
        <v>3947</v>
      </c>
      <c r="J22">
        <v>0.35</v>
      </c>
      <c r="K22">
        <v>1381.4499999999998</v>
      </c>
      <c r="L22" t="s">
        <v>20</v>
      </c>
      <c r="M22" t="s">
        <v>25</v>
      </c>
      <c r="N22" t="s">
        <v>30</v>
      </c>
    </row>
    <row r="23" spans="1:14" x14ac:dyDescent="0.3">
      <c r="A23" s="62">
        <v>44957</v>
      </c>
      <c r="B23" t="s">
        <v>14</v>
      </c>
      <c r="C23" t="s">
        <v>15</v>
      </c>
      <c r="D23" t="s">
        <v>52</v>
      </c>
      <c r="E23" t="s">
        <v>17</v>
      </c>
      <c r="F23" t="s">
        <v>39</v>
      </c>
      <c r="G23" t="s">
        <v>90</v>
      </c>
      <c r="H23" t="s">
        <v>33</v>
      </c>
      <c r="I23">
        <v>5447</v>
      </c>
      <c r="J23">
        <v>0.35</v>
      </c>
      <c r="K23">
        <v>1906.4499999999998</v>
      </c>
      <c r="L23" t="s">
        <v>20</v>
      </c>
      <c r="M23" t="s">
        <v>25</v>
      </c>
      <c r="N23" t="s">
        <v>22</v>
      </c>
    </row>
    <row r="24" spans="1:14" x14ac:dyDescent="0.3">
      <c r="A24" s="62">
        <v>44958</v>
      </c>
      <c r="B24" t="s">
        <v>53</v>
      </c>
      <c r="C24" t="s">
        <v>15</v>
      </c>
      <c r="D24" t="s">
        <v>51</v>
      </c>
      <c r="E24" t="s">
        <v>24</v>
      </c>
      <c r="F24" t="s">
        <v>25</v>
      </c>
      <c r="G24" t="s">
        <v>91</v>
      </c>
      <c r="H24" t="s">
        <v>29</v>
      </c>
      <c r="I24">
        <v>2811</v>
      </c>
      <c r="J24">
        <v>0.25</v>
      </c>
      <c r="K24">
        <v>702.75</v>
      </c>
      <c r="L24" t="s">
        <v>27</v>
      </c>
      <c r="M24" t="s">
        <v>46</v>
      </c>
      <c r="N24" t="s">
        <v>22</v>
      </c>
    </row>
    <row r="25" spans="1:14" x14ac:dyDescent="0.3">
      <c r="A25" s="62">
        <v>44960</v>
      </c>
      <c r="B25" t="s">
        <v>53</v>
      </c>
      <c r="C25" t="s">
        <v>15</v>
      </c>
      <c r="D25" t="s">
        <v>54</v>
      </c>
      <c r="E25" t="s">
        <v>17</v>
      </c>
      <c r="F25" t="s">
        <v>39</v>
      </c>
      <c r="G25" t="s">
        <v>90</v>
      </c>
      <c r="H25" t="s">
        <v>29</v>
      </c>
      <c r="I25">
        <v>3190</v>
      </c>
      <c r="J25">
        <v>0.35</v>
      </c>
      <c r="K25">
        <v>1116.5</v>
      </c>
      <c r="L25" t="s">
        <v>20</v>
      </c>
      <c r="M25" t="s">
        <v>21</v>
      </c>
      <c r="N25" t="s">
        <v>34</v>
      </c>
    </row>
    <row r="26" spans="1:14" x14ac:dyDescent="0.3">
      <c r="A26" s="62">
        <v>44962</v>
      </c>
      <c r="B26" t="s">
        <v>53</v>
      </c>
      <c r="C26" t="s">
        <v>15</v>
      </c>
      <c r="D26" t="s">
        <v>40</v>
      </c>
      <c r="E26" t="s">
        <v>17</v>
      </c>
      <c r="F26" t="s">
        <v>39</v>
      </c>
      <c r="G26" t="s">
        <v>90</v>
      </c>
      <c r="H26" t="s">
        <v>19</v>
      </c>
      <c r="I26">
        <v>4578</v>
      </c>
      <c r="J26">
        <v>0.35</v>
      </c>
      <c r="K26">
        <v>1602.3</v>
      </c>
      <c r="L26" t="s">
        <v>20</v>
      </c>
      <c r="M26" t="s">
        <v>46</v>
      </c>
      <c r="N26" t="s">
        <v>37</v>
      </c>
    </row>
    <row r="27" spans="1:14" x14ac:dyDescent="0.3">
      <c r="A27" s="62">
        <v>44962</v>
      </c>
      <c r="B27" t="s">
        <v>53</v>
      </c>
      <c r="C27" t="s">
        <v>15</v>
      </c>
      <c r="D27" t="s">
        <v>55</v>
      </c>
      <c r="E27" t="s">
        <v>24</v>
      </c>
      <c r="F27" t="s">
        <v>39</v>
      </c>
      <c r="G27" t="s">
        <v>90</v>
      </c>
      <c r="H27" t="s">
        <v>42</v>
      </c>
      <c r="I27">
        <v>3168</v>
      </c>
      <c r="J27">
        <v>0.35</v>
      </c>
      <c r="K27">
        <v>1108.8</v>
      </c>
      <c r="L27" t="s">
        <v>20</v>
      </c>
      <c r="M27" t="s">
        <v>46</v>
      </c>
      <c r="N27" t="s">
        <v>22</v>
      </c>
    </row>
    <row r="28" spans="1:14" x14ac:dyDescent="0.3">
      <c r="A28" s="62">
        <v>44966</v>
      </c>
      <c r="B28" t="s">
        <v>53</v>
      </c>
      <c r="C28" t="s">
        <v>15</v>
      </c>
      <c r="D28" t="s">
        <v>56</v>
      </c>
      <c r="E28" t="s">
        <v>17</v>
      </c>
      <c r="F28" t="s">
        <v>41</v>
      </c>
      <c r="G28" t="s">
        <v>89</v>
      </c>
      <c r="H28" t="s">
        <v>29</v>
      </c>
      <c r="I28">
        <v>5585</v>
      </c>
      <c r="J28">
        <v>0.25</v>
      </c>
      <c r="K28">
        <v>1396.25</v>
      </c>
      <c r="L28" t="s">
        <v>20</v>
      </c>
      <c r="M28" t="s">
        <v>25</v>
      </c>
      <c r="N28" t="s">
        <v>34</v>
      </c>
    </row>
    <row r="29" spans="1:14" x14ac:dyDescent="0.3">
      <c r="A29" s="62">
        <v>44970</v>
      </c>
      <c r="B29" t="s">
        <v>53</v>
      </c>
      <c r="C29" t="s">
        <v>15</v>
      </c>
      <c r="D29" t="s">
        <v>49</v>
      </c>
      <c r="E29" t="s">
        <v>17</v>
      </c>
      <c r="F29" t="s">
        <v>39</v>
      </c>
      <c r="G29" t="s">
        <v>90</v>
      </c>
      <c r="H29" t="s">
        <v>29</v>
      </c>
      <c r="I29">
        <v>3445</v>
      </c>
      <c r="J29">
        <v>0.35</v>
      </c>
      <c r="K29">
        <v>1205.75</v>
      </c>
      <c r="L29" t="s">
        <v>20</v>
      </c>
      <c r="M29" t="s">
        <v>46</v>
      </c>
      <c r="N29" t="s">
        <v>22</v>
      </c>
    </row>
    <row r="30" spans="1:14" x14ac:dyDescent="0.3">
      <c r="A30" s="62">
        <v>44971</v>
      </c>
      <c r="B30" t="s">
        <v>53</v>
      </c>
      <c r="C30" t="s">
        <v>15</v>
      </c>
      <c r="D30" t="s">
        <v>36</v>
      </c>
      <c r="E30" t="s">
        <v>17</v>
      </c>
      <c r="F30" t="s">
        <v>18</v>
      </c>
      <c r="G30" t="s">
        <v>91</v>
      </c>
      <c r="H30" t="s">
        <v>29</v>
      </c>
      <c r="I30">
        <v>2513</v>
      </c>
      <c r="J30">
        <v>0.3</v>
      </c>
      <c r="K30">
        <v>753.9</v>
      </c>
      <c r="L30" t="s">
        <v>27</v>
      </c>
      <c r="M30" t="s">
        <v>46</v>
      </c>
      <c r="N30" t="s">
        <v>37</v>
      </c>
    </row>
    <row r="31" spans="1:14" x14ac:dyDescent="0.3">
      <c r="A31" s="62">
        <v>44971</v>
      </c>
      <c r="B31" t="s">
        <v>53</v>
      </c>
      <c r="C31" t="s">
        <v>15</v>
      </c>
      <c r="D31" t="s">
        <v>43</v>
      </c>
      <c r="E31" t="s">
        <v>24</v>
      </c>
      <c r="F31" t="s">
        <v>32</v>
      </c>
      <c r="G31" t="s">
        <v>90</v>
      </c>
      <c r="H31" t="s">
        <v>33</v>
      </c>
      <c r="I31">
        <v>3799</v>
      </c>
      <c r="J31">
        <v>0.4</v>
      </c>
      <c r="K31">
        <v>1519.6000000000001</v>
      </c>
      <c r="L31" t="s">
        <v>27</v>
      </c>
      <c r="M31" t="s">
        <v>21</v>
      </c>
      <c r="N31" t="s">
        <v>22</v>
      </c>
    </row>
    <row r="32" spans="1:14" x14ac:dyDescent="0.3">
      <c r="A32" s="62">
        <v>44972</v>
      </c>
      <c r="B32" t="s">
        <v>53</v>
      </c>
      <c r="C32" t="s">
        <v>15</v>
      </c>
      <c r="D32" t="s">
        <v>51</v>
      </c>
      <c r="E32" t="s">
        <v>24</v>
      </c>
      <c r="F32" t="s">
        <v>32</v>
      </c>
      <c r="G32" t="s">
        <v>90</v>
      </c>
      <c r="H32" t="s">
        <v>29</v>
      </c>
      <c r="I32">
        <v>4170</v>
      </c>
      <c r="J32">
        <v>0.4</v>
      </c>
      <c r="K32">
        <v>1668</v>
      </c>
      <c r="L32" t="s">
        <v>27</v>
      </c>
      <c r="M32" t="s">
        <v>25</v>
      </c>
      <c r="N32" t="s">
        <v>37</v>
      </c>
    </row>
    <row r="33" spans="1:14" x14ac:dyDescent="0.3">
      <c r="A33" s="62">
        <v>44972</v>
      </c>
      <c r="B33" t="s">
        <v>53</v>
      </c>
      <c r="C33" t="s">
        <v>15</v>
      </c>
      <c r="D33" t="s">
        <v>47</v>
      </c>
      <c r="E33" t="s">
        <v>24</v>
      </c>
      <c r="F33" t="s">
        <v>32</v>
      </c>
      <c r="G33" t="s">
        <v>90</v>
      </c>
      <c r="H33" t="s">
        <v>33</v>
      </c>
      <c r="I33">
        <v>2951</v>
      </c>
      <c r="J33">
        <v>0.4</v>
      </c>
      <c r="K33">
        <v>1180.4000000000001</v>
      </c>
      <c r="L33" t="s">
        <v>20</v>
      </c>
      <c r="M33" t="s">
        <v>25</v>
      </c>
      <c r="N33" t="s">
        <v>30</v>
      </c>
    </row>
    <row r="34" spans="1:14" x14ac:dyDescent="0.3">
      <c r="A34" s="62">
        <v>44974</v>
      </c>
      <c r="B34" t="s">
        <v>53</v>
      </c>
      <c r="C34" t="s">
        <v>15</v>
      </c>
      <c r="D34" t="s">
        <v>45</v>
      </c>
      <c r="E34" t="s">
        <v>17</v>
      </c>
      <c r="F34" t="s">
        <v>41</v>
      </c>
      <c r="G34" t="s">
        <v>89</v>
      </c>
      <c r="H34" t="s">
        <v>26</v>
      </c>
      <c r="I34">
        <v>3425</v>
      </c>
      <c r="J34">
        <v>0.25</v>
      </c>
      <c r="K34">
        <v>856.25</v>
      </c>
      <c r="L34" t="s">
        <v>27</v>
      </c>
      <c r="M34" t="s">
        <v>25</v>
      </c>
      <c r="N34" t="s">
        <v>22</v>
      </c>
    </row>
    <row r="35" spans="1:14" x14ac:dyDescent="0.3">
      <c r="A35" s="62">
        <v>44976</v>
      </c>
      <c r="B35" t="s">
        <v>53</v>
      </c>
      <c r="C35" t="s">
        <v>15</v>
      </c>
      <c r="D35" t="s">
        <v>57</v>
      </c>
      <c r="E35" t="s">
        <v>24</v>
      </c>
      <c r="F35" t="s">
        <v>39</v>
      </c>
      <c r="G35" t="s">
        <v>90</v>
      </c>
      <c r="H35" t="s">
        <v>33</v>
      </c>
      <c r="I35">
        <v>5517</v>
      </c>
      <c r="J35">
        <v>0.35</v>
      </c>
      <c r="K35">
        <v>1930.9499999999998</v>
      </c>
      <c r="L35" t="s">
        <v>20</v>
      </c>
      <c r="M35" t="s">
        <v>21</v>
      </c>
      <c r="N35" t="s">
        <v>30</v>
      </c>
    </row>
    <row r="36" spans="1:14" x14ac:dyDescent="0.3">
      <c r="A36" s="62">
        <v>44977</v>
      </c>
      <c r="B36" t="s">
        <v>53</v>
      </c>
      <c r="C36" t="s">
        <v>15</v>
      </c>
      <c r="D36" t="s">
        <v>40</v>
      </c>
      <c r="E36" t="s">
        <v>17</v>
      </c>
      <c r="F36" t="s">
        <v>41</v>
      </c>
      <c r="G36" t="s">
        <v>89</v>
      </c>
      <c r="H36" t="s">
        <v>29</v>
      </c>
      <c r="I36">
        <v>4948</v>
      </c>
      <c r="J36">
        <v>0.25</v>
      </c>
      <c r="K36">
        <v>1237</v>
      </c>
      <c r="L36" t="s">
        <v>27</v>
      </c>
      <c r="M36" t="s">
        <v>25</v>
      </c>
      <c r="N36" t="s">
        <v>30</v>
      </c>
    </row>
    <row r="37" spans="1:14" x14ac:dyDescent="0.3">
      <c r="A37" s="62">
        <v>44979</v>
      </c>
      <c r="B37" t="s">
        <v>53</v>
      </c>
      <c r="C37" t="s">
        <v>15</v>
      </c>
      <c r="D37" t="s">
        <v>44</v>
      </c>
      <c r="E37" t="s">
        <v>24</v>
      </c>
      <c r="F37" t="s">
        <v>18</v>
      </c>
      <c r="G37" t="s">
        <v>91</v>
      </c>
      <c r="H37" t="s">
        <v>33</v>
      </c>
      <c r="I37">
        <v>5592</v>
      </c>
      <c r="J37">
        <v>0.3</v>
      </c>
      <c r="K37">
        <v>1677.6</v>
      </c>
      <c r="L37" t="s">
        <v>27</v>
      </c>
      <c r="M37" t="s">
        <v>46</v>
      </c>
      <c r="N37" t="s">
        <v>22</v>
      </c>
    </row>
    <row r="38" spans="1:14" x14ac:dyDescent="0.3">
      <c r="A38" s="62">
        <v>44979</v>
      </c>
      <c r="B38" t="s">
        <v>53</v>
      </c>
      <c r="C38" t="s">
        <v>15</v>
      </c>
      <c r="D38" t="s">
        <v>58</v>
      </c>
      <c r="E38" t="s">
        <v>24</v>
      </c>
      <c r="F38" t="s">
        <v>25</v>
      </c>
      <c r="G38" t="s">
        <v>91</v>
      </c>
      <c r="H38" t="s">
        <v>26</v>
      </c>
      <c r="I38">
        <v>3116</v>
      </c>
      <c r="J38">
        <v>0.25</v>
      </c>
      <c r="K38">
        <v>779</v>
      </c>
      <c r="L38" t="s">
        <v>20</v>
      </c>
      <c r="M38" t="s">
        <v>25</v>
      </c>
      <c r="N38" t="s">
        <v>34</v>
      </c>
    </row>
    <row r="39" spans="1:14" x14ac:dyDescent="0.3">
      <c r="A39" s="62">
        <v>44979</v>
      </c>
      <c r="B39" t="s">
        <v>53</v>
      </c>
      <c r="C39" t="s">
        <v>15</v>
      </c>
      <c r="D39" t="s">
        <v>59</v>
      </c>
      <c r="E39" t="s">
        <v>24</v>
      </c>
      <c r="F39" t="s">
        <v>32</v>
      </c>
      <c r="G39" t="s">
        <v>90</v>
      </c>
      <c r="H39" t="s">
        <v>33</v>
      </c>
      <c r="I39">
        <v>2888</v>
      </c>
      <c r="J39">
        <v>0.4</v>
      </c>
      <c r="K39">
        <v>1155.2</v>
      </c>
      <c r="L39" t="s">
        <v>20</v>
      </c>
      <c r="M39" t="s">
        <v>46</v>
      </c>
      <c r="N39" t="s">
        <v>37</v>
      </c>
    </row>
    <row r="40" spans="1:14" x14ac:dyDescent="0.3">
      <c r="A40" s="62">
        <v>44983</v>
      </c>
      <c r="B40" t="s">
        <v>53</v>
      </c>
      <c r="C40" t="s">
        <v>15</v>
      </c>
      <c r="D40" t="s">
        <v>54</v>
      </c>
      <c r="E40" t="s">
        <v>17</v>
      </c>
      <c r="F40" t="s">
        <v>39</v>
      </c>
      <c r="G40" t="s">
        <v>90</v>
      </c>
      <c r="H40" t="s">
        <v>19</v>
      </c>
      <c r="I40">
        <v>4547</v>
      </c>
      <c r="J40">
        <v>0.35</v>
      </c>
      <c r="K40">
        <v>1591.4499999999998</v>
      </c>
      <c r="L40" t="s">
        <v>20</v>
      </c>
      <c r="M40" t="s">
        <v>21</v>
      </c>
      <c r="N40" t="s">
        <v>30</v>
      </c>
    </row>
    <row r="41" spans="1:14" x14ac:dyDescent="0.3">
      <c r="A41" s="62">
        <v>44985</v>
      </c>
      <c r="B41" t="s">
        <v>53</v>
      </c>
      <c r="C41" t="s">
        <v>15</v>
      </c>
      <c r="D41" t="s">
        <v>52</v>
      </c>
      <c r="E41" t="s">
        <v>17</v>
      </c>
      <c r="F41" t="s">
        <v>25</v>
      </c>
      <c r="G41" t="s">
        <v>91</v>
      </c>
      <c r="H41" t="s">
        <v>26</v>
      </c>
      <c r="I41">
        <v>3219</v>
      </c>
      <c r="J41">
        <v>0.25</v>
      </c>
      <c r="K41">
        <v>804.75</v>
      </c>
      <c r="L41" t="s">
        <v>27</v>
      </c>
      <c r="M41" t="s">
        <v>46</v>
      </c>
      <c r="N41" t="s">
        <v>30</v>
      </c>
    </row>
    <row r="42" spans="1:14" x14ac:dyDescent="0.3">
      <c r="A42" s="62">
        <v>44985</v>
      </c>
      <c r="B42" t="s">
        <v>53</v>
      </c>
      <c r="C42" t="s">
        <v>15</v>
      </c>
      <c r="D42" t="s">
        <v>36</v>
      </c>
      <c r="E42" t="s">
        <v>17</v>
      </c>
      <c r="F42" t="s">
        <v>41</v>
      </c>
      <c r="G42" t="s">
        <v>89</v>
      </c>
      <c r="H42" t="s">
        <v>42</v>
      </c>
      <c r="I42">
        <v>4139</v>
      </c>
      <c r="J42">
        <v>0.25</v>
      </c>
      <c r="K42">
        <v>1034.75</v>
      </c>
      <c r="L42" t="s">
        <v>20</v>
      </c>
      <c r="M42" t="s">
        <v>25</v>
      </c>
      <c r="N42" t="s">
        <v>30</v>
      </c>
    </row>
    <row r="43" spans="1:14" x14ac:dyDescent="0.3">
      <c r="A43" s="62">
        <v>44985</v>
      </c>
      <c r="B43" t="s">
        <v>53</v>
      </c>
      <c r="C43" t="s">
        <v>15</v>
      </c>
      <c r="D43" t="s">
        <v>60</v>
      </c>
      <c r="E43" t="s">
        <v>24</v>
      </c>
      <c r="F43" t="s">
        <v>18</v>
      </c>
      <c r="G43" t="s">
        <v>91</v>
      </c>
      <c r="H43" t="s">
        <v>33</v>
      </c>
      <c r="I43">
        <v>4210</v>
      </c>
      <c r="J43">
        <v>0.3</v>
      </c>
      <c r="K43">
        <v>1263</v>
      </c>
      <c r="L43" t="s">
        <v>20</v>
      </c>
      <c r="M43" t="s">
        <v>25</v>
      </c>
      <c r="N43" t="s">
        <v>34</v>
      </c>
    </row>
    <row r="44" spans="1:14" x14ac:dyDescent="0.3">
      <c r="A44" s="62">
        <v>44986</v>
      </c>
      <c r="B44" t="s">
        <v>61</v>
      </c>
      <c r="C44" t="s">
        <v>15</v>
      </c>
      <c r="D44" t="s">
        <v>62</v>
      </c>
      <c r="E44" t="s">
        <v>24</v>
      </c>
      <c r="F44" t="s">
        <v>39</v>
      </c>
      <c r="G44" t="s">
        <v>90</v>
      </c>
      <c r="H44" t="s">
        <v>26</v>
      </c>
      <c r="I44">
        <v>4768</v>
      </c>
      <c r="J44">
        <v>0.35</v>
      </c>
      <c r="K44">
        <v>1668.8</v>
      </c>
      <c r="L44" t="s">
        <v>27</v>
      </c>
      <c r="M44" t="s">
        <v>21</v>
      </c>
      <c r="N44" t="s">
        <v>37</v>
      </c>
    </row>
    <row r="45" spans="1:14" x14ac:dyDescent="0.3">
      <c r="A45" s="62">
        <v>44986</v>
      </c>
      <c r="B45" t="s">
        <v>61</v>
      </c>
      <c r="C45" t="s">
        <v>15</v>
      </c>
      <c r="D45" t="s">
        <v>47</v>
      </c>
      <c r="E45" t="s">
        <v>24</v>
      </c>
      <c r="F45" t="s">
        <v>39</v>
      </c>
      <c r="G45" t="s">
        <v>90</v>
      </c>
      <c r="H45" t="s">
        <v>19</v>
      </c>
      <c r="I45">
        <v>4863</v>
      </c>
      <c r="J45">
        <v>0.35</v>
      </c>
      <c r="K45">
        <v>1702.05</v>
      </c>
      <c r="L45" t="s">
        <v>20</v>
      </c>
      <c r="M45" t="s">
        <v>46</v>
      </c>
      <c r="N45" t="s">
        <v>22</v>
      </c>
    </row>
    <row r="46" spans="1:14" x14ac:dyDescent="0.3">
      <c r="A46" s="62">
        <v>44990</v>
      </c>
      <c r="B46" t="s">
        <v>61</v>
      </c>
      <c r="C46" t="s">
        <v>15</v>
      </c>
      <c r="D46" t="s">
        <v>44</v>
      </c>
      <c r="E46" t="s">
        <v>24</v>
      </c>
      <c r="F46" t="s">
        <v>25</v>
      </c>
      <c r="G46" t="s">
        <v>91</v>
      </c>
      <c r="H46" t="s">
        <v>42</v>
      </c>
      <c r="I46">
        <v>5209</v>
      </c>
      <c r="J46">
        <v>0.25</v>
      </c>
      <c r="K46">
        <v>1302.25</v>
      </c>
      <c r="L46" t="s">
        <v>20</v>
      </c>
      <c r="M46" t="s">
        <v>46</v>
      </c>
      <c r="N46" t="s">
        <v>37</v>
      </c>
    </row>
    <row r="47" spans="1:14" x14ac:dyDescent="0.3">
      <c r="A47" s="62">
        <v>44991</v>
      </c>
      <c r="B47" t="s">
        <v>61</v>
      </c>
      <c r="C47" t="s">
        <v>15</v>
      </c>
      <c r="D47" t="s">
        <v>51</v>
      </c>
      <c r="E47" t="s">
        <v>24</v>
      </c>
      <c r="F47" t="s">
        <v>25</v>
      </c>
      <c r="G47" t="s">
        <v>91</v>
      </c>
      <c r="H47" t="s">
        <v>33</v>
      </c>
      <c r="I47">
        <v>3807</v>
      </c>
      <c r="J47">
        <v>0.25</v>
      </c>
      <c r="K47">
        <v>951.75</v>
      </c>
      <c r="L47" t="s">
        <v>27</v>
      </c>
      <c r="M47" t="s">
        <v>25</v>
      </c>
      <c r="N47" t="s">
        <v>37</v>
      </c>
    </row>
    <row r="48" spans="1:14" x14ac:dyDescent="0.3">
      <c r="A48" s="62">
        <v>44992</v>
      </c>
      <c r="B48" t="s">
        <v>61</v>
      </c>
      <c r="C48" t="s">
        <v>15</v>
      </c>
      <c r="D48" t="s">
        <v>56</v>
      </c>
      <c r="E48" t="s">
        <v>17</v>
      </c>
      <c r="F48" t="s">
        <v>39</v>
      </c>
      <c r="G48" t="s">
        <v>90</v>
      </c>
      <c r="H48" t="s">
        <v>33</v>
      </c>
      <c r="I48">
        <v>3219</v>
      </c>
      <c r="J48">
        <v>0.35</v>
      </c>
      <c r="K48">
        <v>1126.6499999999999</v>
      </c>
      <c r="L48" t="s">
        <v>27</v>
      </c>
      <c r="M48" t="s">
        <v>25</v>
      </c>
      <c r="N48" t="s">
        <v>34</v>
      </c>
    </row>
    <row r="49" spans="1:14" x14ac:dyDescent="0.3">
      <c r="A49" s="62">
        <v>44994</v>
      </c>
      <c r="B49" t="s">
        <v>61</v>
      </c>
      <c r="C49" t="s">
        <v>15</v>
      </c>
      <c r="D49" t="s">
        <v>50</v>
      </c>
      <c r="E49" t="s">
        <v>17</v>
      </c>
      <c r="F49" t="s">
        <v>32</v>
      </c>
      <c r="G49" t="s">
        <v>90</v>
      </c>
      <c r="H49" t="s">
        <v>29</v>
      </c>
      <c r="I49">
        <v>5297</v>
      </c>
      <c r="J49">
        <v>0.4</v>
      </c>
      <c r="K49">
        <v>2118.8000000000002</v>
      </c>
      <c r="L49" t="s">
        <v>27</v>
      </c>
      <c r="M49" t="s">
        <v>25</v>
      </c>
      <c r="N49" t="s">
        <v>22</v>
      </c>
    </row>
    <row r="50" spans="1:14" x14ac:dyDescent="0.3">
      <c r="A50" s="62">
        <v>44994</v>
      </c>
      <c r="B50" t="s">
        <v>61</v>
      </c>
      <c r="C50" t="s">
        <v>15</v>
      </c>
      <c r="D50" t="s">
        <v>63</v>
      </c>
      <c r="E50" t="s">
        <v>17</v>
      </c>
      <c r="F50" t="s">
        <v>25</v>
      </c>
      <c r="G50" t="s">
        <v>91</v>
      </c>
      <c r="H50" t="s">
        <v>33</v>
      </c>
      <c r="I50">
        <v>3331</v>
      </c>
      <c r="J50">
        <v>0.25</v>
      </c>
      <c r="K50">
        <v>832.75</v>
      </c>
      <c r="L50" t="s">
        <v>27</v>
      </c>
      <c r="M50" t="s">
        <v>46</v>
      </c>
      <c r="N50" t="s">
        <v>34</v>
      </c>
    </row>
    <row r="51" spans="1:14" x14ac:dyDescent="0.3">
      <c r="A51" s="62">
        <v>44995</v>
      </c>
      <c r="B51" t="s">
        <v>61</v>
      </c>
      <c r="C51" t="s">
        <v>15</v>
      </c>
      <c r="D51" t="s">
        <v>58</v>
      </c>
      <c r="E51" t="s">
        <v>24</v>
      </c>
      <c r="F51" t="s">
        <v>32</v>
      </c>
      <c r="G51" t="s">
        <v>90</v>
      </c>
      <c r="H51" t="s">
        <v>29</v>
      </c>
      <c r="I51">
        <v>3445</v>
      </c>
      <c r="J51">
        <v>0.4</v>
      </c>
      <c r="K51">
        <v>1378</v>
      </c>
      <c r="L51" t="s">
        <v>27</v>
      </c>
      <c r="M51" t="s">
        <v>21</v>
      </c>
      <c r="N51" t="s">
        <v>37</v>
      </c>
    </row>
    <row r="52" spans="1:14" x14ac:dyDescent="0.3">
      <c r="A52" s="62">
        <v>44996</v>
      </c>
      <c r="B52" t="s">
        <v>61</v>
      </c>
      <c r="C52" t="s">
        <v>15</v>
      </c>
      <c r="D52" t="s">
        <v>52</v>
      </c>
      <c r="E52" t="s">
        <v>17</v>
      </c>
      <c r="F52" t="s">
        <v>25</v>
      </c>
      <c r="G52" t="s">
        <v>91</v>
      </c>
      <c r="H52" t="s">
        <v>33</v>
      </c>
      <c r="I52">
        <v>3195</v>
      </c>
      <c r="J52">
        <v>0.25</v>
      </c>
      <c r="K52">
        <v>798.75</v>
      </c>
      <c r="L52" t="s">
        <v>20</v>
      </c>
      <c r="M52" t="s">
        <v>25</v>
      </c>
      <c r="N52" t="s">
        <v>34</v>
      </c>
    </row>
    <row r="53" spans="1:14" x14ac:dyDescent="0.3">
      <c r="A53" s="62">
        <v>45001</v>
      </c>
      <c r="B53" t="s">
        <v>61</v>
      </c>
      <c r="C53" t="s">
        <v>15</v>
      </c>
      <c r="D53" t="s">
        <v>56</v>
      </c>
      <c r="E53" t="s">
        <v>17</v>
      </c>
      <c r="F53" t="s">
        <v>18</v>
      </c>
      <c r="G53" t="s">
        <v>91</v>
      </c>
      <c r="H53" t="s">
        <v>26</v>
      </c>
      <c r="I53">
        <v>3458</v>
      </c>
      <c r="J53">
        <v>0.3</v>
      </c>
      <c r="K53">
        <v>1037.3999999999999</v>
      </c>
      <c r="L53" t="s">
        <v>20</v>
      </c>
      <c r="M53" t="s">
        <v>46</v>
      </c>
      <c r="N53" t="s">
        <v>37</v>
      </c>
    </row>
    <row r="54" spans="1:14" x14ac:dyDescent="0.3">
      <c r="A54" s="62">
        <v>45002</v>
      </c>
      <c r="B54" t="s">
        <v>61</v>
      </c>
      <c r="C54" t="s">
        <v>15</v>
      </c>
      <c r="D54" t="s">
        <v>16</v>
      </c>
      <c r="E54" t="s">
        <v>17</v>
      </c>
      <c r="F54" t="s">
        <v>32</v>
      </c>
      <c r="G54" t="s">
        <v>90</v>
      </c>
      <c r="H54" t="s">
        <v>26</v>
      </c>
      <c r="I54">
        <v>2405</v>
      </c>
      <c r="J54">
        <v>0.4</v>
      </c>
      <c r="K54">
        <v>962</v>
      </c>
      <c r="L54" t="s">
        <v>27</v>
      </c>
      <c r="M54" t="s">
        <v>25</v>
      </c>
      <c r="N54" t="s">
        <v>37</v>
      </c>
    </row>
    <row r="55" spans="1:14" x14ac:dyDescent="0.3">
      <c r="A55" s="62">
        <v>45004</v>
      </c>
      <c r="B55" t="s">
        <v>61</v>
      </c>
      <c r="C55" t="s">
        <v>15</v>
      </c>
      <c r="D55" t="s">
        <v>64</v>
      </c>
      <c r="E55" t="s">
        <v>17</v>
      </c>
      <c r="F55" t="s">
        <v>32</v>
      </c>
      <c r="G55" t="s">
        <v>90</v>
      </c>
      <c r="H55" t="s">
        <v>42</v>
      </c>
      <c r="I55">
        <v>3828</v>
      </c>
      <c r="J55">
        <v>0.4</v>
      </c>
      <c r="K55">
        <v>1531.2</v>
      </c>
      <c r="L55" t="s">
        <v>27</v>
      </c>
      <c r="M55" t="s">
        <v>21</v>
      </c>
      <c r="N55" t="s">
        <v>34</v>
      </c>
    </row>
    <row r="56" spans="1:14" x14ac:dyDescent="0.3">
      <c r="A56" s="62">
        <v>45005</v>
      </c>
      <c r="B56" t="s">
        <v>61</v>
      </c>
      <c r="C56" t="s">
        <v>15</v>
      </c>
      <c r="D56" t="s">
        <v>48</v>
      </c>
      <c r="E56" t="s">
        <v>17</v>
      </c>
      <c r="F56" t="s">
        <v>32</v>
      </c>
      <c r="G56" t="s">
        <v>90</v>
      </c>
      <c r="H56" t="s">
        <v>33</v>
      </c>
      <c r="I56">
        <v>5260</v>
      </c>
      <c r="J56">
        <v>0.4</v>
      </c>
      <c r="K56">
        <v>2104</v>
      </c>
      <c r="L56" t="s">
        <v>27</v>
      </c>
      <c r="M56" t="s">
        <v>25</v>
      </c>
      <c r="N56" t="s">
        <v>37</v>
      </c>
    </row>
    <row r="57" spans="1:14" x14ac:dyDescent="0.3">
      <c r="A57" s="62">
        <v>45008</v>
      </c>
      <c r="B57" t="s">
        <v>61</v>
      </c>
      <c r="C57" t="s">
        <v>15</v>
      </c>
      <c r="D57" t="s">
        <v>31</v>
      </c>
      <c r="E57" t="s">
        <v>24</v>
      </c>
      <c r="F57" t="s">
        <v>18</v>
      </c>
      <c r="G57" t="s">
        <v>91</v>
      </c>
      <c r="H57" t="s">
        <v>33</v>
      </c>
      <c r="I57">
        <v>2548</v>
      </c>
      <c r="J57">
        <v>0.3</v>
      </c>
      <c r="K57">
        <v>764.4</v>
      </c>
      <c r="L57" t="s">
        <v>20</v>
      </c>
      <c r="M57" t="s">
        <v>25</v>
      </c>
      <c r="N57" t="s">
        <v>34</v>
      </c>
    </row>
    <row r="58" spans="1:14" x14ac:dyDescent="0.3">
      <c r="A58" s="62">
        <v>45010</v>
      </c>
      <c r="B58" t="s">
        <v>61</v>
      </c>
      <c r="C58" t="s">
        <v>15</v>
      </c>
      <c r="D58" t="s">
        <v>23</v>
      </c>
      <c r="E58" t="s">
        <v>24</v>
      </c>
      <c r="F58" t="s">
        <v>41</v>
      </c>
      <c r="G58" t="s">
        <v>89</v>
      </c>
      <c r="H58" t="s">
        <v>26</v>
      </c>
      <c r="I58">
        <v>4895</v>
      </c>
      <c r="J58">
        <v>0.25</v>
      </c>
      <c r="K58">
        <v>1223.75</v>
      </c>
      <c r="L58" t="s">
        <v>27</v>
      </c>
      <c r="M58" t="s">
        <v>46</v>
      </c>
      <c r="N58" t="s">
        <v>30</v>
      </c>
    </row>
    <row r="59" spans="1:14" x14ac:dyDescent="0.3">
      <c r="A59" s="62">
        <v>45011</v>
      </c>
      <c r="B59" t="s">
        <v>61</v>
      </c>
      <c r="C59" t="s">
        <v>15</v>
      </c>
      <c r="D59" t="s">
        <v>36</v>
      </c>
      <c r="E59" t="s">
        <v>17</v>
      </c>
      <c r="F59" t="s">
        <v>39</v>
      </c>
      <c r="G59" t="s">
        <v>90</v>
      </c>
      <c r="H59" t="s">
        <v>26</v>
      </c>
      <c r="I59">
        <v>5675</v>
      </c>
      <c r="J59">
        <v>0.35</v>
      </c>
      <c r="K59">
        <v>1986.2499999999998</v>
      </c>
      <c r="L59" t="s">
        <v>27</v>
      </c>
      <c r="M59" t="s">
        <v>21</v>
      </c>
      <c r="N59" t="s">
        <v>22</v>
      </c>
    </row>
    <row r="60" spans="1:14" x14ac:dyDescent="0.3">
      <c r="A60" s="62">
        <v>45012</v>
      </c>
      <c r="B60" t="s">
        <v>61</v>
      </c>
      <c r="C60" t="s">
        <v>15</v>
      </c>
      <c r="D60" t="s">
        <v>56</v>
      </c>
      <c r="E60" t="s">
        <v>17</v>
      </c>
      <c r="F60" t="s">
        <v>32</v>
      </c>
      <c r="G60" t="s">
        <v>90</v>
      </c>
      <c r="H60" t="s">
        <v>19</v>
      </c>
      <c r="I60">
        <v>4614</v>
      </c>
      <c r="J60">
        <v>0.4</v>
      </c>
      <c r="K60">
        <v>1845.6000000000001</v>
      </c>
      <c r="L60" t="s">
        <v>27</v>
      </c>
      <c r="M60" t="s">
        <v>25</v>
      </c>
      <c r="N60" t="s">
        <v>22</v>
      </c>
    </row>
    <row r="61" spans="1:14" x14ac:dyDescent="0.3">
      <c r="A61" s="62">
        <v>45012</v>
      </c>
      <c r="B61" t="s">
        <v>61</v>
      </c>
      <c r="C61" t="s">
        <v>15</v>
      </c>
      <c r="D61" t="s">
        <v>59</v>
      </c>
      <c r="E61" t="s">
        <v>24</v>
      </c>
      <c r="F61" t="s">
        <v>41</v>
      </c>
      <c r="G61" t="s">
        <v>89</v>
      </c>
      <c r="H61" t="s">
        <v>26</v>
      </c>
      <c r="I61">
        <v>3757</v>
      </c>
      <c r="J61">
        <v>0.25</v>
      </c>
      <c r="K61">
        <v>939.25</v>
      </c>
      <c r="L61" t="s">
        <v>20</v>
      </c>
      <c r="M61" t="s">
        <v>46</v>
      </c>
      <c r="N61" t="s">
        <v>34</v>
      </c>
    </row>
    <row r="62" spans="1:14" x14ac:dyDescent="0.3">
      <c r="A62" s="62">
        <v>45014</v>
      </c>
      <c r="B62" t="s">
        <v>61</v>
      </c>
      <c r="C62" t="s">
        <v>15</v>
      </c>
      <c r="D62" t="s">
        <v>57</v>
      </c>
      <c r="E62" t="s">
        <v>24</v>
      </c>
      <c r="F62" t="s">
        <v>32</v>
      </c>
      <c r="G62" t="s">
        <v>90</v>
      </c>
      <c r="H62" t="s">
        <v>19</v>
      </c>
      <c r="I62">
        <v>4527</v>
      </c>
      <c r="J62">
        <v>0.4</v>
      </c>
      <c r="K62">
        <v>1810.8000000000002</v>
      </c>
      <c r="L62" t="s">
        <v>20</v>
      </c>
      <c r="M62" t="s">
        <v>25</v>
      </c>
      <c r="N62" t="s">
        <v>22</v>
      </c>
    </row>
    <row r="63" spans="1:14" x14ac:dyDescent="0.3">
      <c r="A63" s="62">
        <v>45015</v>
      </c>
      <c r="B63" t="s">
        <v>61</v>
      </c>
      <c r="C63" t="s">
        <v>15</v>
      </c>
      <c r="D63" t="s">
        <v>28</v>
      </c>
      <c r="E63" t="s">
        <v>24</v>
      </c>
      <c r="F63" t="s">
        <v>25</v>
      </c>
      <c r="G63" t="s">
        <v>91</v>
      </c>
      <c r="H63" t="s">
        <v>33</v>
      </c>
      <c r="I63">
        <v>5027</v>
      </c>
      <c r="J63">
        <v>0.25</v>
      </c>
      <c r="K63">
        <v>1256.75</v>
      </c>
      <c r="L63" t="s">
        <v>27</v>
      </c>
      <c r="M63" t="s">
        <v>46</v>
      </c>
      <c r="N63" t="s">
        <v>37</v>
      </c>
    </row>
    <row r="64" spans="1:14" x14ac:dyDescent="0.3">
      <c r="A64" s="62">
        <v>45018</v>
      </c>
      <c r="B64" t="s">
        <v>65</v>
      </c>
      <c r="C64" t="s">
        <v>15</v>
      </c>
      <c r="D64" t="s">
        <v>63</v>
      </c>
      <c r="E64" t="s">
        <v>17</v>
      </c>
      <c r="F64" t="s">
        <v>32</v>
      </c>
      <c r="G64" t="s">
        <v>90</v>
      </c>
      <c r="H64" t="s">
        <v>26</v>
      </c>
      <c r="I64">
        <v>4975</v>
      </c>
      <c r="J64">
        <v>0.4</v>
      </c>
      <c r="K64">
        <v>1990</v>
      </c>
      <c r="L64" t="s">
        <v>27</v>
      </c>
      <c r="M64" t="s">
        <v>46</v>
      </c>
      <c r="N64" t="s">
        <v>30</v>
      </c>
    </row>
    <row r="65" spans="1:14" x14ac:dyDescent="0.3">
      <c r="A65" s="62">
        <v>45021</v>
      </c>
      <c r="B65" t="s">
        <v>65</v>
      </c>
      <c r="C65" t="s">
        <v>15</v>
      </c>
      <c r="D65" t="s">
        <v>60</v>
      </c>
      <c r="E65" t="s">
        <v>24</v>
      </c>
      <c r="F65" t="s">
        <v>39</v>
      </c>
      <c r="G65" t="s">
        <v>90</v>
      </c>
      <c r="H65" t="s">
        <v>33</v>
      </c>
      <c r="I65">
        <v>4828</v>
      </c>
      <c r="J65">
        <v>0.35</v>
      </c>
      <c r="K65">
        <v>1689.8</v>
      </c>
      <c r="L65" t="s">
        <v>20</v>
      </c>
      <c r="M65" t="s">
        <v>21</v>
      </c>
      <c r="N65" t="s">
        <v>34</v>
      </c>
    </row>
    <row r="66" spans="1:14" x14ac:dyDescent="0.3">
      <c r="A66" s="62">
        <v>45024</v>
      </c>
      <c r="B66" t="s">
        <v>65</v>
      </c>
      <c r="C66" t="s">
        <v>15</v>
      </c>
      <c r="D66" t="s">
        <v>52</v>
      </c>
      <c r="E66" t="s">
        <v>17</v>
      </c>
      <c r="F66" t="s">
        <v>39</v>
      </c>
      <c r="G66" t="s">
        <v>90</v>
      </c>
      <c r="H66" t="s">
        <v>33</v>
      </c>
      <c r="I66">
        <v>5616</v>
      </c>
      <c r="J66">
        <v>0.35</v>
      </c>
      <c r="K66">
        <v>1965.6</v>
      </c>
      <c r="L66" t="s">
        <v>20</v>
      </c>
      <c r="M66" t="s">
        <v>25</v>
      </c>
      <c r="N66" t="s">
        <v>30</v>
      </c>
    </row>
    <row r="67" spans="1:14" x14ac:dyDescent="0.3">
      <c r="A67" s="62">
        <v>45028</v>
      </c>
      <c r="B67" t="s">
        <v>65</v>
      </c>
      <c r="C67" t="s">
        <v>15</v>
      </c>
      <c r="D67" t="s">
        <v>59</v>
      </c>
      <c r="E67" t="s">
        <v>24</v>
      </c>
      <c r="F67" t="s">
        <v>25</v>
      </c>
      <c r="G67" t="s">
        <v>91</v>
      </c>
      <c r="H67" t="s">
        <v>19</v>
      </c>
      <c r="I67">
        <v>3803</v>
      </c>
      <c r="J67">
        <v>0.25</v>
      </c>
      <c r="K67">
        <v>950.75</v>
      </c>
      <c r="L67" t="s">
        <v>27</v>
      </c>
      <c r="M67" t="s">
        <v>46</v>
      </c>
      <c r="N67" t="s">
        <v>22</v>
      </c>
    </row>
    <row r="68" spans="1:14" x14ac:dyDescent="0.3">
      <c r="A68" s="62">
        <v>45029</v>
      </c>
      <c r="B68" t="s">
        <v>65</v>
      </c>
      <c r="C68" t="s">
        <v>15</v>
      </c>
      <c r="D68" t="s">
        <v>64</v>
      </c>
      <c r="E68" t="s">
        <v>17</v>
      </c>
      <c r="F68" t="s">
        <v>41</v>
      </c>
      <c r="G68" t="s">
        <v>89</v>
      </c>
      <c r="H68" t="s">
        <v>29</v>
      </c>
      <c r="I68">
        <v>3692</v>
      </c>
      <c r="J68">
        <v>0.25</v>
      </c>
      <c r="K68">
        <v>923</v>
      </c>
      <c r="L68" t="s">
        <v>20</v>
      </c>
      <c r="M68" t="s">
        <v>25</v>
      </c>
      <c r="N68" t="s">
        <v>34</v>
      </c>
    </row>
    <row r="69" spans="1:14" x14ac:dyDescent="0.3">
      <c r="A69" s="62">
        <v>45029</v>
      </c>
      <c r="B69" t="s">
        <v>65</v>
      </c>
      <c r="C69" t="s">
        <v>15</v>
      </c>
      <c r="D69" t="s">
        <v>31</v>
      </c>
      <c r="E69" t="s">
        <v>24</v>
      </c>
      <c r="F69" t="s">
        <v>18</v>
      </c>
      <c r="G69" t="s">
        <v>91</v>
      </c>
      <c r="H69" t="s">
        <v>19</v>
      </c>
      <c r="I69">
        <v>3029</v>
      </c>
      <c r="J69">
        <v>0.3</v>
      </c>
      <c r="K69">
        <v>908.69999999999993</v>
      </c>
      <c r="L69" t="s">
        <v>20</v>
      </c>
      <c r="M69" t="s">
        <v>21</v>
      </c>
      <c r="N69" t="s">
        <v>34</v>
      </c>
    </row>
    <row r="70" spans="1:14" x14ac:dyDescent="0.3">
      <c r="A70" s="62">
        <v>45030</v>
      </c>
      <c r="B70" t="s">
        <v>65</v>
      </c>
      <c r="C70" t="s">
        <v>15</v>
      </c>
      <c r="D70" t="s">
        <v>66</v>
      </c>
      <c r="E70" t="s">
        <v>24</v>
      </c>
      <c r="F70" t="s">
        <v>18</v>
      </c>
      <c r="G70" t="s">
        <v>91</v>
      </c>
      <c r="H70" t="s">
        <v>26</v>
      </c>
      <c r="I70">
        <v>5670</v>
      </c>
      <c r="J70">
        <v>0.3</v>
      </c>
      <c r="K70">
        <v>1701</v>
      </c>
      <c r="L70" t="s">
        <v>27</v>
      </c>
      <c r="M70" t="s">
        <v>25</v>
      </c>
      <c r="N70" t="s">
        <v>34</v>
      </c>
    </row>
    <row r="71" spans="1:14" x14ac:dyDescent="0.3">
      <c r="A71" s="62">
        <v>45032</v>
      </c>
      <c r="B71" t="s">
        <v>65</v>
      </c>
      <c r="C71" t="s">
        <v>15</v>
      </c>
      <c r="D71" t="s">
        <v>52</v>
      </c>
      <c r="E71" t="s">
        <v>17</v>
      </c>
      <c r="F71" t="s">
        <v>25</v>
      </c>
      <c r="G71" t="s">
        <v>91</v>
      </c>
      <c r="H71" t="s">
        <v>29</v>
      </c>
      <c r="I71">
        <v>5483</v>
      </c>
      <c r="J71">
        <v>0.25</v>
      </c>
      <c r="K71">
        <v>1370.75</v>
      </c>
      <c r="L71" t="s">
        <v>20</v>
      </c>
      <c r="M71" t="s">
        <v>46</v>
      </c>
      <c r="N71" t="s">
        <v>37</v>
      </c>
    </row>
    <row r="72" spans="1:14" x14ac:dyDescent="0.3">
      <c r="A72" s="62">
        <v>45035</v>
      </c>
      <c r="B72" t="s">
        <v>65</v>
      </c>
      <c r="C72" t="s">
        <v>15</v>
      </c>
      <c r="D72" t="s">
        <v>16</v>
      </c>
      <c r="E72" t="s">
        <v>17</v>
      </c>
      <c r="F72" t="s">
        <v>39</v>
      </c>
      <c r="G72" t="s">
        <v>90</v>
      </c>
      <c r="H72" t="s">
        <v>19</v>
      </c>
      <c r="I72">
        <v>2771</v>
      </c>
      <c r="J72">
        <v>0.35</v>
      </c>
      <c r="K72">
        <v>969.84999999999991</v>
      </c>
      <c r="L72" t="s">
        <v>27</v>
      </c>
      <c r="M72" t="s">
        <v>25</v>
      </c>
      <c r="N72" t="s">
        <v>34</v>
      </c>
    </row>
    <row r="73" spans="1:14" x14ac:dyDescent="0.3">
      <c r="A73" s="62">
        <v>45037</v>
      </c>
      <c r="B73" t="s">
        <v>65</v>
      </c>
      <c r="C73" t="s">
        <v>15</v>
      </c>
      <c r="D73" t="s">
        <v>52</v>
      </c>
      <c r="E73" t="s">
        <v>17</v>
      </c>
      <c r="F73" t="s">
        <v>32</v>
      </c>
      <c r="G73" t="s">
        <v>90</v>
      </c>
      <c r="H73" t="s">
        <v>42</v>
      </c>
      <c r="I73">
        <v>4892</v>
      </c>
      <c r="J73">
        <v>0.4</v>
      </c>
      <c r="K73">
        <v>1956.8000000000002</v>
      </c>
      <c r="L73" t="s">
        <v>20</v>
      </c>
      <c r="M73" t="s">
        <v>25</v>
      </c>
      <c r="N73" t="s">
        <v>34</v>
      </c>
    </row>
    <row r="74" spans="1:14" x14ac:dyDescent="0.3">
      <c r="A74" s="62">
        <v>45037</v>
      </c>
      <c r="B74" t="s">
        <v>65</v>
      </c>
      <c r="C74" t="s">
        <v>15</v>
      </c>
      <c r="D74" t="s">
        <v>23</v>
      </c>
      <c r="E74" t="s">
        <v>24</v>
      </c>
      <c r="F74" t="s">
        <v>39</v>
      </c>
      <c r="G74" t="s">
        <v>90</v>
      </c>
      <c r="H74" t="s">
        <v>33</v>
      </c>
      <c r="I74">
        <v>3772</v>
      </c>
      <c r="J74">
        <v>0.35</v>
      </c>
      <c r="K74">
        <v>1320.1999999999998</v>
      </c>
      <c r="L74" t="s">
        <v>20</v>
      </c>
      <c r="M74" t="s">
        <v>21</v>
      </c>
      <c r="N74" t="s">
        <v>30</v>
      </c>
    </row>
    <row r="75" spans="1:14" x14ac:dyDescent="0.3">
      <c r="A75" s="62">
        <v>45038</v>
      </c>
      <c r="B75" t="s">
        <v>65</v>
      </c>
      <c r="C75" t="s">
        <v>15</v>
      </c>
      <c r="D75" t="s">
        <v>47</v>
      </c>
      <c r="E75" t="s">
        <v>24</v>
      </c>
      <c r="F75" t="s">
        <v>32</v>
      </c>
      <c r="G75" t="s">
        <v>90</v>
      </c>
      <c r="H75" t="s">
        <v>33</v>
      </c>
      <c r="I75">
        <v>2496</v>
      </c>
      <c r="J75">
        <v>0.4</v>
      </c>
      <c r="K75">
        <v>998.40000000000009</v>
      </c>
      <c r="L75" t="s">
        <v>20</v>
      </c>
      <c r="M75" t="s">
        <v>46</v>
      </c>
      <c r="N75" t="s">
        <v>37</v>
      </c>
    </row>
    <row r="76" spans="1:14" x14ac:dyDescent="0.3">
      <c r="A76" s="62">
        <v>45039</v>
      </c>
      <c r="B76" t="s">
        <v>65</v>
      </c>
      <c r="C76" t="s">
        <v>15</v>
      </c>
      <c r="D76" t="s">
        <v>63</v>
      </c>
      <c r="E76" t="s">
        <v>17</v>
      </c>
      <c r="F76" t="s">
        <v>32</v>
      </c>
      <c r="G76" t="s">
        <v>90</v>
      </c>
      <c r="H76" t="s">
        <v>29</v>
      </c>
      <c r="I76">
        <v>4405</v>
      </c>
      <c r="J76">
        <v>0.4</v>
      </c>
      <c r="K76">
        <v>1762</v>
      </c>
      <c r="L76" t="s">
        <v>20</v>
      </c>
      <c r="M76" t="s">
        <v>46</v>
      </c>
      <c r="N76" t="s">
        <v>30</v>
      </c>
    </row>
    <row r="77" spans="1:14" x14ac:dyDescent="0.3">
      <c r="A77" s="62">
        <v>45040</v>
      </c>
      <c r="B77" t="s">
        <v>65</v>
      </c>
      <c r="C77" t="s">
        <v>15</v>
      </c>
      <c r="D77" t="s">
        <v>57</v>
      </c>
      <c r="E77" t="s">
        <v>24</v>
      </c>
      <c r="F77" t="s">
        <v>25</v>
      </c>
      <c r="G77" t="s">
        <v>91</v>
      </c>
      <c r="H77" t="s">
        <v>33</v>
      </c>
      <c r="I77">
        <v>3973</v>
      </c>
      <c r="J77">
        <v>0.25</v>
      </c>
      <c r="K77">
        <v>993.25</v>
      </c>
      <c r="L77" t="s">
        <v>27</v>
      </c>
      <c r="M77" t="s">
        <v>21</v>
      </c>
      <c r="N77" t="s">
        <v>30</v>
      </c>
    </row>
    <row r="78" spans="1:14" x14ac:dyDescent="0.3">
      <c r="A78" s="62">
        <v>45041</v>
      </c>
      <c r="B78" t="s">
        <v>65</v>
      </c>
      <c r="C78" t="s">
        <v>15</v>
      </c>
      <c r="D78" t="s">
        <v>36</v>
      </c>
      <c r="E78" t="s">
        <v>17</v>
      </c>
      <c r="F78" t="s">
        <v>41</v>
      </c>
      <c r="G78" t="s">
        <v>89</v>
      </c>
      <c r="H78" t="s">
        <v>33</v>
      </c>
      <c r="I78">
        <v>4627</v>
      </c>
      <c r="J78">
        <v>0.25</v>
      </c>
      <c r="K78">
        <v>1156.75</v>
      </c>
      <c r="L78" t="s">
        <v>20</v>
      </c>
      <c r="M78" t="s">
        <v>25</v>
      </c>
      <c r="N78" t="s">
        <v>37</v>
      </c>
    </row>
    <row r="79" spans="1:14" x14ac:dyDescent="0.3">
      <c r="A79" s="62">
        <v>45045</v>
      </c>
      <c r="B79" t="s">
        <v>65</v>
      </c>
      <c r="C79" t="s">
        <v>15</v>
      </c>
      <c r="D79" t="s">
        <v>48</v>
      </c>
      <c r="E79" t="s">
        <v>17</v>
      </c>
      <c r="F79" t="s">
        <v>32</v>
      </c>
      <c r="G79" t="s">
        <v>90</v>
      </c>
      <c r="H79" t="s">
        <v>29</v>
      </c>
      <c r="I79">
        <v>5195</v>
      </c>
      <c r="J79">
        <v>0.4</v>
      </c>
      <c r="K79">
        <v>2078</v>
      </c>
      <c r="L79" t="s">
        <v>20</v>
      </c>
      <c r="M79" t="s">
        <v>46</v>
      </c>
      <c r="N79" t="s">
        <v>34</v>
      </c>
    </row>
    <row r="80" spans="1:14" x14ac:dyDescent="0.3">
      <c r="A80" s="62">
        <v>45045</v>
      </c>
      <c r="B80" t="s">
        <v>65</v>
      </c>
      <c r="C80" t="s">
        <v>15</v>
      </c>
      <c r="D80" t="s">
        <v>31</v>
      </c>
      <c r="E80" t="s">
        <v>24</v>
      </c>
      <c r="F80" t="s">
        <v>18</v>
      </c>
      <c r="G80" t="s">
        <v>91</v>
      </c>
      <c r="H80" t="s">
        <v>19</v>
      </c>
      <c r="I80">
        <v>4412</v>
      </c>
      <c r="J80">
        <v>0.3</v>
      </c>
      <c r="K80">
        <v>1323.6</v>
      </c>
      <c r="L80" t="s">
        <v>20</v>
      </c>
      <c r="M80" t="s">
        <v>25</v>
      </c>
      <c r="N80" t="s">
        <v>34</v>
      </c>
    </row>
    <row r="81" spans="1:14" x14ac:dyDescent="0.3">
      <c r="A81" s="62">
        <v>45046</v>
      </c>
      <c r="B81" t="s">
        <v>65</v>
      </c>
      <c r="C81" t="s">
        <v>15</v>
      </c>
      <c r="D81" t="s">
        <v>40</v>
      </c>
      <c r="E81" t="s">
        <v>17</v>
      </c>
      <c r="F81" t="s">
        <v>18</v>
      </c>
      <c r="G81" t="s">
        <v>91</v>
      </c>
      <c r="H81" t="s">
        <v>26</v>
      </c>
      <c r="I81">
        <v>5440</v>
      </c>
      <c r="J81">
        <v>0.3</v>
      </c>
      <c r="K81">
        <v>1632</v>
      </c>
      <c r="L81" t="s">
        <v>20</v>
      </c>
      <c r="M81" t="s">
        <v>25</v>
      </c>
      <c r="N81" t="s">
        <v>34</v>
      </c>
    </row>
    <row r="82" spans="1:14" x14ac:dyDescent="0.3">
      <c r="A82" s="62">
        <v>45046</v>
      </c>
      <c r="B82" t="s">
        <v>65</v>
      </c>
      <c r="C82" t="s">
        <v>15</v>
      </c>
      <c r="D82" t="s">
        <v>31</v>
      </c>
      <c r="E82" t="s">
        <v>24</v>
      </c>
      <c r="F82" t="s">
        <v>18</v>
      </c>
      <c r="G82" t="s">
        <v>91</v>
      </c>
      <c r="H82" t="s">
        <v>33</v>
      </c>
      <c r="I82">
        <v>4099</v>
      </c>
      <c r="J82">
        <v>0.3</v>
      </c>
      <c r="K82">
        <v>1229.7</v>
      </c>
      <c r="L82" t="s">
        <v>20</v>
      </c>
      <c r="M82" t="s">
        <v>21</v>
      </c>
      <c r="N82" t="s">
        <v>22</v>
      </c>
    </row>
    <row r="83" spans="1:14" x14ac:dyDescent="0.3">
      <c r="A83" s="62">
        <v>45046</v>
      </c>
      <c r="B83" t="s">
        <v>65</v>
      </c>
      <c r="C83" t="s">
        <v>15</v>
      </c>
      <c r="D83" t="s">
        <v>51</v>
      </c>
      <c r="E83" t="s">
        <v>24</v>
      </c>
      <c r="F83" t="s">
        <v>18</v>
      </c>
      <c r="G83" t="s">
        <v>91</v>
      </c>
      <c r="H83" t="s">
        <v>29</v>
      </c>
      <c r="I83">
        <v>2978</v>
      </c>
      <c r="J83">
        <v>0.3</v>
      </c>
      <c r="K83">
        <v>893.4</v>
      </c>
      <c r="L83" t="s">
        <v>27</v>
      </c>
      <c r="M83" t="s">
        <v>21</v>
      </c>
      <c r="N83" t="s">
        <v>37</v>
      </c>
    </row>
    <row r="84" spans="1:14" x14ac:dyDescent="0.3">
      <c r="A84" s="62">
        <v>45047</v>
      </c>
      <c r="B84" t="s">
        <v>67</v>
      </c>
      <c r="C84" t="s">
        <v>15</v>
      </c>
      <c r="D84" t="s">
        <v>68</v>
      </c>
      <c r="E84" t="s">
        <v>24</v>
      </c>
      <c r="F84" t="s">
        <v>18</v>
      </c>
      <c r="G84" t="s">
        <v>91</v>
      </c>
      <c r="H84" t="s">
        <v>29</v>
      </c>
      <c r="I84">
        <v>2689</v>
      </c>
      <c r="J84">
        <v>0.3</v>
      </c>
      <c r="K84">
        <v>806.69999999999993</v>
      </c>
      <c r="L84" t="s">
        <v>20</v>
      </c>
      <c r="M84" t="s">
        <v>21</v>
      </c>
      <c r="N84" t="s">
        <v>37</v>
      </c>
    </row>
    <row r="85" spans="1:14" x14ac:dyDescent="0.3">
      <c r="A85" s="62">
        <v>45051</v>
      </c>
      <c r="B85" t="s">
        <v>67</v>
      </c>
      <c r="C85" t="s">
        <v>15</v>
      </c>
      <c r="D85" t="s">
        <v>57</v>
      </c>
      <c r="E85" t="s">
        <v>24</v>
      </c>
      <c r="F85" t="s">
        <v>25</v>
      </c>
      <c r="G85" t="s">
        <v>91</v>
      </c>
      <c r="H85" t="s">
        <v>33</v>
      </c>
      <c r="I85">
        <v>5482</v>
      </c>
      <c r="J85">
        <v>0.25</v>
      </c>
      <c r="K85">
        <v>1370.5</v>
      </c>
      <c r="L85" t="s">
        <v>20</v>
      </c>
      <c r="M85" t="s">
        <v>46</v>
      </c>
      <c r="N85" t="s">
        <v>37</v>
      </c>
    </row>
    <row r="86" spans="1:14" x14ac:dyDescent="0.3">
      <c r="A86" s="62">
        <v>45052</v>
      </c>
      <c r="B86" t="s">
        <v>67</v>
      </c>
      <c r="C86" t="s">
        <v>15</v>
      </c>
      <c r="D86" t="s">
        <v>45</v>
      </c>
      <c r="E86" t="s">
        <v>17</v>
      </c>
      <c r="F86" t="s">
        <v>32</v>
      </c>
      <c r="G86" t="s">
        <v>90</v>
      </c>
      <c r="H86" t="s">
        <v>29</v>
      </c>
      <c r="I86">
        <v>4475</v>
      </c>
      <c r="J86">
        <v>0.4</v>
      </c>
      <c r="K86">
        <v>1790</v>
      </c>
      <c r="L86" t="s">
        <v>20</v>
      </c>
      <c r="M86" t="s">
        <v>25</v>
      </c>
      <c r="N86" t="s">
        <v>37</v>
      </c>
    </row>
    <row r="87" spans="1:14" x14ac:dyDescent="0.3">
      <c r="A87" s="62">
        <v>45053</v>
      </c>
      <c r="B87" t="s">
        <v>67</v>
      </c>
      <c r="C87" t="s">
        <v>15</v>
      </c>
      <c r="D87" t="s">
        <v>40</v>
      </c>
      <c r="E87" t="s">
        <v>17</v>
      </c>
      <c r="F87" t="s">
        <v>41</v>
      </c>
      <c r="G87" t="s">
        <v>89</v>
      </c>
      <c r="H87" t="s">
        <v>33</v>
      </c>
      <c r="I87">
        <v>5517</v>
      </c>
      <c r="J87">
        <v>0.25</v>
      </c>
      <c r="K87">
        <v>1379.25</v>
      </c>
      <c r="L87" t="s">
        <v>20</v>
      </c>
      <c r="M87" t="s">
        <v>46</v>
      </c>
      <c r="N87" t="s">
        <v>30</v>
      </c>
    </row>
    <row r="88" spans="1:14" x14ac:dyDescent="0.3">
      <c r="A88" s="62">
        <v>45055</v>
      </c>
      <c r="B88" t="s">
        <v>67</v>
      </c>
      <c r="C88" t="s">
        <v>15</v>
      </c>
      <c r="D88" t="s">
        <v>54</v>
      </c>
      <c r="E88" t="s">
        <v>17</v>
      </c>
      <c r="F88" t="s">
        <v>39</v>
      </c>
      <c r="G88" t="s">
        <v>90</v>
      </c>
      <c r="H88" t="s">
        <v>33</v>
      </c>
      <c r="I88">
        <v>4013</v>
      </c>
      <c r="J88">
        <v>0.35</v>
      </c>
      <c r="K88">
        <v>1404.55</v>
      </c>
      <c r="L88" t="s">
        <v>20</v>
      </c>
      <c r="M88" t="s">
        <v>21</v>
      </c>
      <c r="N88" t="s">
        <v>22</v>
      </c>
    </row>
    <row r="89" spans="1:14" x14ac:dyDescent="0.3">
      <c r="A89" s="62">
        <v>45057</v>
      </c>
      <c r="B89" t="s">
        <v>67</v>
      </c>
      <c r="C89" t="s">
        <v>15</v>
      </c>
      <c r="D89" t="s">
        <v>48</v>
      </c>
      <c r="E89" t="s">
        <v>17</v>
      </c>
      <c r="F89" t="s">
        <v>32</v>
      </c>
      <c r="G89" t="s">
        <v>90</v>
      </c>
      <c r="H89" t="s">
        <v>29</v>
      </c>
      <c r="I89">
        <v>3518</v>
      </c>
      <c r="J89">
        <v>0.4</v>
      </c>
      <c r="K89">
        <v>1407.2</v>
      </c>
      <c r="L89" t="s">
        <v>27</v>
      </c>
      <c r="M89" t="s">
        <v>25</v>
      </c>
      <c r="N89" t="s">
        <v>34</v>
      </c>
    </row>
    <row r="90" spans="1:14" x14ac:dyDescent="0.3">
      <c r="A90" s="62">
        <v>45057</v>
      </c>
      <c r="B90" t="s">
        <v>67</v>
      </c>
      <c r="C90" t="s">
        <v>15</v>
      </c>
      <c r="D90" t="s">
        <v>50</v>
      </c>
      <c r="E90" t="s">
        <v>17</v>
      </c>
      <c r="F90" t="s">
        <v>41</v>
      </c>
      <c r="G90" t="s">
        <v>89</v>
      </c>
      <c r="H90" t="s">
        <v>29</v>
      </c>
      <c r="I90">
        <v>3067</v>
      </c>
      <c r="J90">
        <v>0.25</v>
      </c>
      <c r="K90">
        <v>766.75</v>
      </c>
      <c r="L90" t="s">
        <v>20</v>
      </c>
      <c r="M90" t="s">
        <v>21</v>
      </c>
      <c r="N90" t="s">
        <v>22</v>
      </c>
    </row>
    <row r="91" spans="1:14" x14ac:dyDescent="0.3">
      <c r="A91" s="62">
        <v>45058</v>
      </c>
      <c r="B91" t="s">
        <v>67</v>
      </c>
      <c r="C91" t="s">
        <v>15</v>
      </c>
      <c r="D91" t="s">
        <v>57</v>
      </c>
      <c r="E91" t="s">
        <v>24</v>
      </c>
      <c r="F91" t="s">
        <v>32</v>
      </c>
      <c r="G91" t="s">
        <v>90</v>
      </c>
      <c r="H91" t="s">
        <v>33</v>
      </c>
      <c r="I91">
        <v>3374</v>
      </c>
      <c r="J91">
        <v>0.4</v>
      </c>
      <c r="K91">
        <v>1349.6000000000001</v>
      </c>
      <c r="L91" t="s">
        <v>20</v>
      </c>
      <c r="M91" t="s">
        <v>46</v>
      </c>
      <c r="N91" t="s">
        <v>37</v>
      </c>
    </row>
    <row r="92" spans="1:14" x14ac:dyDescent="0.3">
      <c r="A92" s="62">
        <v>45060</v>
      </c>
      <c r="B92" t="s">
        <v>67</v>
      </c>
      <c r="C92" t="s">
        <v>15</v>
      </c>
      <c r="D92" t="s">
        <v>16</v>
      </c>
      <c r="E92" t="s">
        <v>17</v>
      </c>
      <c r="F92" t="s">
        <v>41</v>
      </c>
      <c r="G92" t="s">
        <v>89</v>
      </c>
      <c r="H92" t="s">
        <v>29</v>
      </c>
      <c r="I92">
        <v>4925</v>
      </c>
      <c r="J92">
        <v>0.25</v>
      </c>
      <c r="K92">
        <v>1231.25</v>
      </c>
      <c r="L92" t="s">
        <v>27</v>
      </c>
      <c r="M92" t="s">
        <v>21</v>
      </c>
      <c r="N92" t="s">
        <v>22</v>
      </c>
    </row>
    <row r="93" spans="1:14" x14ac:dyDescent="0.3">
      <c r="A93" s="62">
        <v>45062</v>
      </c>
      <c r="B93" t="s">
        <v>67</v>
      </c>
      <c r="C93" t="s">
        <v>15</v>
      </c>
      <c r="D93" t="s">
        <v>55</v>
      </c>
      <c r="E93" t="s">
        <v>24</v>
      </c>
      <c r="F93" t="s">
        <v>18</v>
      </c>
      <c r="G93" t="s">
        <v>91</v>
      </c>
      <c r="H93" t="s">
        <v>29</v>
      </c>
      <c r="I93">
        <v>2945</v>
      </c>
      <c r="J93">
        <v>0.3</v>
      </c>
      <c r="K93">
        <v>883.5</v>
      </c>
      <c r="L93" t="s">
        <v>27</v>
      </c>
      <c r="M93" t="s">
        <v>46</v>
      </c>
      <c r="N93" t="s">
        <v>30</v>
      </c>
    </row>
    <row r="94" spans="1:14" x14ac:dyDescent="0.3">
      <c r="A94" s="62">
        <v>45064</v>
      </c>
      <c r="B94" t="s">
        <v>67</v>
      </c>
      <c r="C94" t="s">
        <v>15</v>
      </c>
      <c r="D94" t="s">
        <v>48</v>
      </c>
      <c r="E94" t="s">
        <v>17</v>
      </c>
      <c r="F94" t="s">
        <v>18</v>
      </c>
      <c r="G94" t="s">
        <v>91</v>
      </c>
      <c r="H94" t="s">
        <v>26</v>
      </c>
      <c r="I94">
        <v>3440</v>
      </c>
      <c r="J94">
        <v>0.3</v>
      </c>
      <c r="K94">
        <v>1032</v>
      </c>
      <c r="L94" t="s">
        <v>20</v>
      </c>
      <c r="M94" t="s">
        <v>46</v>
      </c>
      <c r="N94" t="s">
        <v>34</v>
      </c>
    </row>
    <row r="95" spans="1:14" x14ac:dyDescent="0.3">
      <c r="A95" s="62">
        <v>45066</v>
      </c>
      <c r="B95" t="s">
        <v>67</v>
      </c>
      <c r="C95" t="s">
        <v>15</v>
      </c>
      <c r="D95" t="s">
        <v>52</v>
      </c>
      <c r="E95" t="s">
        <v>17</v>
      </c>
      <c r="F95" t="s">
        <v>18</v>
      </c>
      <c r="G95" t="s">
        <v>91</v>
      </c>
      <c r="H95" t="s">
        <v>42</v>
      </c>
      <c r="I95">
        <v>2771</v>
      </c>
      <c r="J95">
        <v>0.3</v>
      </c>
      <c r="K95">
        <v>831.3</v>
      </c>
      <c r="L95" t="s">
        <v>20</v>
      </c>
      <c r="M95" t="s">
        <v>46</v>
      </c>
      <c r="N95" t="s">
        <v>34</v>
      </c>
    </row>
    <row r="96" spans="1:14" x14ac:dyDescent="0.3">
      <c r="A96" s="62">
        <v>45066</v>
      </c>
      <c r="B96" t="s">
        <v>67</v>
      </c>
      <c r="C96" t="s">
        <v>15</v>
      </c>
      <c r="D96" t="s">
        <v>47</v>
      </c>
      <c r="E96" t="s">
        <v>24</v>
      </c>
      <c r="F96" t="s">
        <v>18</v>
      </c>
      <c r="G96" t="s">
        <v>91</v>
      </c>
      <c r="H96" t="s">
        <v>33</v>
      </c>
      <c r="I96">
        <v>2837</v>
      </c>
      <c r="J96">
        <v>0.3</v>
      </c>
      <c r="K96">
        <v>851.1</v>
      </c>
      <c r="L96" t="s">
        <v>20</v>
      </c>
      <c r="M96" t="s">
        <v>21</v>
      </c>
      <c r="N96" t="s">
        <v>37</v>
      </c>
    </row>
    <row r="97" spans="1:14" x14ac:dyDescent="0.3">
      <c r="A97" s="62">
        <v>45068</v>
      </c>
      <c r="B97" t="s">
        <v>67</v>
      </c>
      <c r="C97" t="s">
        <v>15</v>
      </c>
      <c r="D97" t="s">
        <v>36</v>
      </c>
      <c r="E97" t="s">
        <v>17</v>
      </c>
      <c r="F97" t="s">
        <v>18</v>
      </c>
      <c r="G97" t="s">
        <v>91</v>
      </c>
      <c r="H97" t="s">
        <v>33</v>
      </c>
      <c r="I97">
        <v>4942</v>
      </c>
      <c r="J97">
        <v>0.3</v>
      </c>
      <c r="K97">
        <v>1482.6</v>
      </c>
      <c r="L97" t="s">
        <v>20</v>
      </c>
      <c r="M97" t="s">
        <v>25</v>
      </c>
      <c r="N97" t="s">
        <v>30</v>
      </c>
    </row>
    <row r="98" spans="1:14" x14ac:dyDescent="0.3">
      <c r="A98" s="62">
        <v>45068</v>
      </c>
      <c r="B98" t="s">
        <v>67</v>
      </c>
      <c r="C98" t="s">
        <v>15</v>
      </c>
      <c r="D98" t="s">
        <v>66</v>
      </c>
      <c r="E98" t="s">
        <v>24</v>
      </c>
      <c r="F98" t="s">
        <v>25</v>
      </c>
      <c r="G98" t="s">
        <v>91</v>
      </c>
      <c r="H98" t="s">
        <v>29</v>
      </c>
      <c r="I98">
        <v>5310</v>
      </c>
      <c r="J98">
        <v>0.25</v>
      </c>
      <c r="K98">
        <v>1327.5</v>
      </c>
      <c r="L98" t="s">
        <v>20</v>
      </c>
      <c r="M98" t="s">
        <v>46</v>
      </c>
      <c r="N98" t="s">
        <v>22</v>
      </c>
    </row>
    <row r="99" spans="1:14" x14ac:dyDescent="0.3">
      <c r="A99" s="62">
        <v>45068</v>
      </c>
      <c r="B99" t="s">
        <v>67</v>
      </c>
      <c r="C99" t="s">
        <v>15</v>
      </c>
      <c r="D99" t="s">
        <v>59</v>
      </c>
      <c r="E99" t="s">
        <v>24</v>
      </c>
      <c r="F99" t="s">
        <v>39</v>
      </c>
      <c r="G99" t="s">
        <v>90</v>
      </c>
      <c r="H99" t="s">
        <v>29</v>
      </c>
      <c r="I99">
        <v>2419</v>
      </c>
      <c r="J99">
        <v>0.35</v>
      </c>
      <c r="K99">
        <v>846.65</v>
      </c>
      <c r="L99" t="s">
        <v>27</v>
      </c>
      <c r="M99" t="s">
        <v>46</v>
      </c>
      <c r="N99" t="s">
        <v>37</v>
      </c>
    </row>
    <row r="100" spans="1:14" x14ac:dyDescent="0.3">
      <c r="A100" s="62">
        <v>45070</v>
      </c>
      <c r="B100" t="s">
        <v>67</v>
      </c>
      <c r="C100" t="s">
        <v>15</v>
      </c>
      <c r="D100" t="s">
        <v>63</v>
      </c>
      <c r="E100" t="s">
        <v>17</v>
      </c>
      <c r="F100" t="s">
        <v>32</v>
      </c>
      <c r="G100" t="s">
        <v>90</v>
      </c>
      <c r="H100" t="s">
        <v>19</v>
      </c>
      <c r="I100">
        <v>3369</v>
      </c>
      <c r="J100">
        <v>0.4</v>
      </c>
      <c r="K100">
        <v>1347.6000000000001</v>
      </c>
      <c r="L100" t="s">
        <v>27</v>
      </c>
      <c r="M100" t="s">
        <v>25</v>
      </c>
      <c r="N100" t="s">
        <v>37</v>
      </c>
    </row>
    <row r="101" spans="1:14" x14ac:dyDescent="0.3">
      <c r="A101" s="62">
        <v>45074</v>
      </c>
      <c r="B101" t="s">
        <v>67</v>
      </c>
      <c r="C101" t="s">
        <v>15</v>
      </c>
      <c r="D101" t="s">
        <v>57</v>
      </c>
      <c r="E101" t="s">
        <v>24</v>
      </c>
      <c r="F101" t="s">
        <v>39</v>
      </c>
      <c r="G101" t="s">
        <v>90</v>
      </c>
      <c r="H101" t="s">
        <v>29</v>
      </c>
      <c r="I101">
        <v>3406</v>
      </c>
      <c r="J101">
        <v>0.35</v>
      </c>
      <c r="K101">
        <v>1192.0999999999999</v>
      </c>
      <c r="L101" t="s">
        <v>20</v>
      </c>
      <c r="M101" t="s">
        <v>46</v>
      </c>
      <c r="N101" t="s">
        <v>22</v>
      </c>
    </row>
    <row r="102" spans="1:14" x14ac:dyDescent="0.3">
      <c r="A102" s="62">
        <v>45076</v>
      </c>
      <c r="B102" t="s">
        <v>67</v>
      </c>
      <c r="C102" t="s">
        <v>15</v>
      </c>
      <c r="D102" t="s">
        <v>57</v>
      </c>
      <c r="E102" t="s">
        <v>24</v>
      </c>
      <c r="F102" t="s">
        <v>32</v>
      </c>
      <c r="G102" t="s">
        <v>90</v>
      </c>
      <c r="H102" t="s">
        <v>33</v>
      </c>
      <c r="I102">
        <v>3189</v>
      </c>
      <c r="J102">
        <v>0.4</v>
      </c>
      <c r="K102">
        <v>1275.6000000000001</v>
      </c>
      <c r="L102" t="s">
        <v>27</v>
      </c>
      <c r="M102" t="s">
        <v>46</v>
      </c>
      <c r="N102" t="s">
        <v>22</v>
      </c>
    </row>
    <row r="103" spans="1:14" x14ac:dyDescent="0.3">
      <c r="A103" s="62">
        <v>45077</v>
      </c>
      <c r="B103" t="s">
        <v>67</v>
      </c>
      <c r="C103" t="s">
        <v>15</v>
      </c>
      <c r="D103" t="s">
        <v>62</v>
      </c>
      <c r="E103" t="s">
        <v>24</v>
      </c>
      <c r="F103" t="s">
        <v>25</v>
      </c>
      <c r="G103" t="s">
        <v>91</v>
      </c>
      <c r="H103" t="s">
        <v>33</v>
      </c>
      <c r="I103">
        <v>3286</v>
      </c>
      <c r="J103">
        <v>0.25</v>
      </c>
      <c r="K103">
        <v>821.5</v>
      </c>
      <c r="L103" t="s">
        <v>27</v>
      </c>
      <c r="M103" t="s">
        <v>25</v>
      </c>
      <c r="N103" t="s">
        <v>37</v>
      </c>
    </row>
    <row r="104" spans="1:14" x14ac:dyDescent="0.3">
      <c r="A104" s="62">
        <v>45081</v>
      </c>
      <c r="B104" t="s">
        <v>69</v>
      </c>
      <c r="C104" t="s">
        <v>15</v>
      </c>
      <c r="D104" t="s">
        <v>35</v>
      </c>
      <c r="E104" t="s">
        <v>24</v>
      </c>
      <c r="F104" t="s">
        <v>39</v>
      </c>
      <c r="G104" t="s">
        <v>90</v>
      </c>
      <c r="H104" t="s">
        <v>26</v>
      </c>
      <c r="I104">
        <v>4390</v>
      </c>
      <c r="J104">
        <v>0.35</v>
      </c>
      <c r="K104">
        <v>1536.5</v>
      </c>
      <c r="L104" t="s">
        <v>27</v>
      </c>
      <c r="M104" t="s">
        <v>21</v>
      </c>
      <c r="N104" t="s">
        <v>22</v>
      </c>
    </row>
    <row r="105" spans="1:14" x14ac:dyDescent="0.3">
      <c r="A105" s="62">
        <v>45085</v>
      </c>
      <c r="B105" t="s">
        <v>69</v>
      </c>
      <c r="C105" t="s">
        <v>15</v>
      </c>
      <c r="D105" t="s">
        <v>40</v>
      </c>
      <c r="E105" t="s">
        <v>17</v>
      </c>
      <c r="F105" t="s">
        <v>39</v>
      </c>
      <c r="G105" t="s">
        <v>90</v>
      </c>
      <c r="H105" t="s">
        <v>42</v>
      </c>
      <c r="I105">
        <v>3574</v>
      </c>
      <c r="J105">
        <v>0.35</v>
      </c>
      <c r="K105">
        <v>1250.8999999999999</v>
      </c>
      <c r="L105" t="s">
        <v>20</v>
      </c>
      <c r="M105" t="s">
        <v>46</v>
      </c>
      <c r="N105" t="s">
        <v>30</v>
      </c>
    </row>
    <row r="106" spans="1:14" x14ac:dyDescent="0.3">
      <c r="A106" s="62">
        <v>45086</v>
      </c>
      <c r="B106" t="s">
        <v>69</v>
      </c>
      <c r="C106" t="s">
        <v>15</v>
      </c>
      <c r="D106" t="s">
        <v>44</v>
      </c>
      <c r="E106" t="s">
        <v>24</v>
      </c>
      <c r="F106" t="s">
        <v>32</v>
      </c>
      <c r="G106" t="s">
        <v>90</v>
      </c>
      <c r="H106" t="s">
        <v>29</v>
      </c>
      <c r="I106">
        <v>5328</v>
      </c>
      <c r="J106">
        <v>0.4</v>
      </c>
      <c r="K106">
        <v>2131.2000000000003</v>
      </c>
      <c r="L106" t="s">
        <v>27</v>
      </c>
      <c r="M106" t="s">
        <v>21</v>
      </c>
      <c r="N106" t="s">
        <v>30</v>
      </c>
    </row>
    <row r="107" spans="1:14" x14ac:dyDescent="0.3">
      <c r="A107" s="62">
        <v>45088</v>
      </c>
      <c r="B107" t="s">
        <v>69</v>
      </c>
      <c r="C107" t="s">
        <v>15</v>
      </c>
      <c r="D107" t="s">
        <v>49</v>
      </c>
      <c r="E107" t="s">
        <v>17</v>
      </c>
      <c r="F107" t="s">
        <v>41</v>
      </c>
      <c r="G107" t="s">
        <v>89</v>
      </c>
      <c r="H107" t="s">
        <v>29</v>
      </c>
      <c r="I107">
        <v>3848</v>
      </c>
      <c r="J107">
        <v>0.25</v>
      </c>
      <c r="K107">
        <v>962</v>
      </c>
      <c r="L107" t="s">
        <v>27</v>
      </c>
      <c r="M107" t="s">
        <v>21</v>
      </c>
      <c r="N107" t="s">
        <v>22</v>
      </c>
    </row>
    <row r="108" spans="1:14" x14ac:dyDescent="0.3">
      <c r="A108" s="62">
        <v>45088</v>
      </c>
      <c r="B108" t="s">
        <v>69</v>
      </c>
      <c r="C108" t="s">
        <v>15</v>
      </c>
      <c r="D108" t="s">
        <v>16</v>
      </c>
      <c r="E108" t="s">
        <v>17</v>
      </c>
      <c r="F108" t="s">
        <v>25</v>
      </c>
      <c r="G108" t="s">
        <v>91</v>
      </c>
      <c r="H108" t="s">
        <v>33</v>
      </c>
      <c r="I108">
        <v>2863</v>
      </c>
      <c r="J108">
        <v>0.25</v>
      </c>
      <c r="K108">
        <v>715.75</v>
      </c>
      <c r="L108" t="s">
        <v>27</v>
      </c>
      <c r="M108" t="s">
        <v>21</v>
      </c>
      <c r="N108" t="s">
        <v>22</v>
      </c>
    </row>
    <row r="109" spans="1:14" x14ac:dyDescent="0.3">
      <c r="A109" s="62">
        <v>45088</v>
      </c>
      <c r="B109" t="s">
        <v>69</v>
      </c>
      <c r="C109" t="s">
        <v>15</v>
      </c>
      <c r="D109" t="s">
        <v>44</v>
      </c>
      <c r="E109" t="s">
        <v>24</v>
      </c>
      <c r="F109" t="s">
        <v>32</v>
      </c>
      <c r="G109" t="s">
        <v>90</v>
      </c>
      <c r="H109" t="s">
        <v>19</v>
      </c>
      <c r="I109">
        <v>5052</v>
      </c>
      <c r="J109">
        <v>0.4</v>
      </c>
      <c r="K109">
        <v>2020.8000000000002</v>
      </c>
      <c r="L109" t="s">
        <v>27</v>
      </c>
      <c r="M109" t="s">
        <v>46</v>
      </c>
      <c r="N109" t="s">
        <v>30</v>
      </c>
    </row>
    <row r="110" spans="1:14" x14ac:dyDescent="0.3">
      <c r="A110" s="62">
        <v>45090</v>
      </c>
      <c r="B110" t="s">
        <v>69</v>
      </c>
      <c r="C110" t="s">
        <v>15</v>
      </c>
      <c r="D110" t="s">
        <v>63</v>
      </c>
      <c r="E110" t="s">
        <v>17</v>
      </c>
      <c r="F110" t="s">
        <v>18</v>
      </c>
      <c r="G110" t="s">
        <v>91</v>
      </c>
      <c r="H110" t="s">
        <v>42</v>
      </c>
      <c r="I110">
        <v>3141</v>
      </c>
      <c r="J110">
        <v>0.3</v>
      </c>
      <c r="K110">
        <v>942.3</v>
      </c>
      <c r="L110" t="s">
        <v>20</v>
      </c>
      <c r="M110" t="s">
        <v>25</v>
      </c>
      <c r="N110" t="s">
        <v>22</v>
      </c>
    </row>
    <row r="111" spans="1:14" x14ac:dyDescent="0.3">
      <c r="A111" s="62">
        <v>45091</v>
      </c>
      <c r="B111" t="s">
        <v>69</v>
      </c>
      <c r="C111" t="s">
        <v>15</v>
      </c>
      <c r="D111" t="s">
        <v>70</v>
      </c>
      <c r="E111" t="s">
        <v>24</v>
      </c>
      <c r="F111" t="s">
        <v>39</v>
      </c>
      <c r="G111" t="s">
        <v>90</v>
      </c>
      <c r="H111" t="s">
        <v>26</v>
      </c>
      <c r="I111">
        <v>2898</v>
      </c>
      <c r="J111">
        <v>0.35</v>
      </c>
      <c r="K111">
        <v>1014.3</v>
      </c>
      <c r="L111" t="s">
        <v>20</v>
      </c>
      <c r="M111" t="s">
        <v>25</v>
      </c>
      <c r="N111" t="s">
        <v>30</v>
      </c>
    </row>
    <row r="112" spans="1:14" x14ac:dyDescent="0.3">
      <c r="A112" s="62">
        <v>45092</v>
      </c>
      <c r="B112" t="s">
        <v>69</v>
      </c>
      <c r="C112" t="s">
        <v>15</v>
      </c>
      <c r="D112" t="s">
        <v>16</v>
      </c>
      <c r="E112" t="s">
        <v>17</v>
      </c>
      <c r="F112" t="s">
        <v>39</v>
      </c>
      <c r="G112" t="s">
        <v>90</v>
      </c>
      <c r="H112" t="s">
        <v>29</v>
      </c>
      <c r="I112">
        <v>5404</v>
      </c>
      <c r="J112">
        <v>0.35</v>
      </c>
      <c r="K112">
        <v>1891.3999999999999</v>
      </c>
      <c r="L112" t="s">
        <v>20</v>
      </c>
      <c r="M112" t="s">
        <v>21</v>
      </c>
      <c r="N112" t="s">
        <v>34</v>
      </c>
    </row>
    <row r="113" spans="1:14" x14ac:dyDescent="0.3">
      <c r="A113" s="62">
        <v>45094</v>
      </c>
      <c r="B113" t="s">
        <v>69</v>
      </c>
      <c r="C113" t="s">
        <v>15</v>
      </c>
      <c r="D113" t="s">
        <v>68</v>
      </c>
      <c r="E113" t="s">
        <v>24</v>
      </c>
      <c r="F113" t="s">
        <v>41</v>
      </c>
      <c r="G113" t="s">
        <v>89</v>
      </c>
      <c r="H113" t="s">
        <v>26</v>
      </c>
      <c r="I113">
        <v>4622</v>
      </c>
      <c r="J113">
        <v>0.25</v>
      </c>
      <c r="K113">
        <v>1155.5</v>
      </c>
      <c r="L113" t="s">
        <v>20</v>
      </c>
      <c r="M113" t="s">
        <v>25</v>
      </c>
      <c r="N113" t="s">
        <v>34</v>
      </c>
    </row>
    <row r="114" spans="1:14" x14ac:dyDescent="0.3">
      <c r="A114" s="62">
        <v>45095</v>
      </c>
      <c r="B114" t="s">
        <v>69</v>
      </c>
      <c r="C114" t="s">
        <v>15</v>
      </c>
      <c r="D114" t="s">
        <v>56</v>
      </c>
      <c r="E114" t="s">
        <v>17</v>
      </c>
      <c r="F114" t="s">
        <v>18</v>
      </c>
      <c r="G114" t="s">
        <v>91</v>
      </c>
      <c r="H114" t="s">
        <v>19</v>
      </c>
      <c r="I114">
        <v>3171</v>
      </c>
      <c r="J114">
        <v>0.3</v>
      </c>
      <c r="K114">
        <v>951.3</v>
      </c>
      <c r="L114" t="s">
        <v>27</v>
      </c>
      <c r="M114" t="s">
        <v>46</v>
      </c>
      <c r="N114" t="s">
        <v>34</v>
      </c>
    </row>
    <row r="115" spans="1:14" x14ac:dyDescent="0.3">
      <c r="A115" s="62">
        <v>45096</v>
      </c>
      <c r="B115" t="s">
        <v>69</v>
      </c>
      <c r="C115" t="s">
        <v>15</v>
      </c>
      <c r="D115" t="s">
        <v>63</v>
      </c>
      <c r="E115" t="s">
        <v>17</v>
      </c>
      <c r="F115" t="s">
        <v>39</v>
      </c>
      <c r="G115" t="s">
        <v>90</v>
      </c>
      <c r="H115" t="s">
        <v>33</v>
      </c>
      <c r="I115">
        <v>5328</v>
      </c>
      <c r="J115">
        <v>0.35</v>
      </c>
      <c r="K115">
        <v>1864.8</v>
      </c>
      <c r="L115" t="s">
        <v>20</v>
      </c>
      <c r="M115" t="s">
        <v>25</v>
      </c>
      <c r="N115" t="s">
        <v>34</v>
      </c>
    </row>
    <row r="116" spans="1:14" x14ac:dyDescent="0.3">
      <c r="A116" s="62">
        <v>45096</v>
      </c>
      <c r="B116" t="s">
        <v>69</v>
      </c>
      <c r="C116" t="s">
        <v>15</v>
      </c>
      <c r="D116" t="s">
        <v>31</v>
      </c>
      <c r="E116" t="s">
        <v>24</v>
      </c>
      <c r="F116" t="s">
        <v>25</v>
      </c>
      <c r="G116" t="s">
        <v>91</v>
      </c>
      <c r="H116" t="s">
        <v>29</v>
      </c>
      <c r="I116">
        <v>2611</v>
      </c>
      <c r="J116">
        <v>0.25</v>
      </c>
      <c r="K116">
        <v>652.75</v>
      </c>
      <c r="L116" t="s">
        <v>20</v>
      </c>
      <c r="M116" t="s">
        <v>46</v>
      </c>
      <c r="N116" t="s">
        <v>37</v>
      </c>
    </row>
    <row r="117" spans="1:14" x14ac:dyDescent="0.3">
      <c r="A117" s="62">
        <v>45098</v>
      </c>
      <c r="B117" t="s">
        <v>69</v>
      </c>
      <c r="C117" t="s">
        <v>15</v>
      </c>
      <c r="D117" t="s">
        <v>49</v>
      </c>
      <c r="E117" t="s">
        <v>17</v>
      </c>
      <c r="F117" t="s">
        <v>41</v>
      </c>
      <c r="G117" t="s">
        <v>89</v>
      </c>
      <c r="H117" t="s">
        <v>29</v>
      </c>
      <c r="I117">
        <v>5613</v>
      </c>
      <c r="J117">
        <v>0.25</v>
      </c>
      <c r="K117">
        <v>1403.25</v>
      </c>
      <c r="L117" t="s">
        <v>20</v>
      </c>
      <c r="M117" t="s">
        <v>46</v>
      </c>
      <c r="N117" t="s">
        <v>37</v>
      </c>
    </row>
    <row r="118" spans="1:14" x14ac:dyDescent="0.3">
      <c r="A118" s="62">
        <v>45098</v>
      </c>
      <c r="B118" t="s">
        <v>69</v>
      </c>
      <c r="C118" t="s">
        <v>15</v>
      </c>
      <c r="D118" t="s">
        <v>40</v>
      </c>
      <c r="E118" t="s">
        <v>17</v>
      </c>
      <c r="F118" t="s">
        <v>41</v>
      </c>
      <c r="G118" t="s">
        <v>89</v>
      </c>
      <c r="H118" t="s">
        <v>33</v>
      </c>
      <c r="I118">
        <v>2953</v>
      </c>
      <c r="J118">
        <v>0.25</v>
      </c>
      <c r="K118">
        <v>738.25</v>
      </c>
      <c r="L118" t="s">
        <v>20</v>
      </c>
      <c r="M118" t="s">
        <v>21</v>
      </c>
      <c r="N118" t="s">
        <v>37</v>
      </c>
    </row>
    <row r="119" spans="1:14" x14ac:dyDescent="0.3">
      <c r="A119" s="62">
        <v>45099</v>
      </c>
      <c r="B119" t="s">
        <v>69</v>
      </c>
      <c r="C119" t="s">
        <v>15</v>
      </c>
      <c r="D119" t="s">
        <v>55</v>
      </c>
      <c r="E119" t="s">
        <v>24</v>
      </c>
      <c r="F119" t="s">
        <v>39</v>
      </c>
      <c r="G119" t="s">
        <v>90</v>
      </c>
      <c r="H119" t="s">
        <v>19</v>
      </c>
      <c r="I119">
        <v>3049</v>
      </c>
      <c r="J119">
        <v>0.35</v>
      </c>
      <c r="K119">
        <v>1067.1499999999999</v>
      </c>
      <c r="L119" t="s">
        <v>20</v>
      </c>
      <c r="M119" t="s">
        <v>21</v>
      </c>
      <c r="N119" t="s">
        <v>37</v>
      </c>
    </row>
    <row r="120" spans="1:14" x14ac:dyDescent="0.3">
      <c r="A120" s="62">
        <v>45100</v>
      </c>
      <c r="B120" t="s">
        <v>69</v>
      </c>
      <c r="C120" t="s">
        <v>15</v>
      </c>
      <c r="D120" t="s">
        <v>50</v>
      </c>
      <c r="E120" t="s">
        <v>17</v>
      </c>
      <c r="F120" t="s">
        <v>18</v>
      </c>
      <c r="G120" t="s">
        <v>91</v>
      </c>
      <c r="H120" t="s">
        <v>33</v>
      </c>
      <c r="I120">
        <v>3853</v>
      </c>
      <c r="J120">
        <v>0.3</v>
      </c>
      <c r="K120">
        <v>1155.8999999999999</v>
      </c>
      <c r="L120" t="s">
        <v>20</v>
      </c>
      <c r="M120" t="s">
        <v>25</v>
      </c>
      <c r="N120" t="s">
        <v>37</v>
      </c>
    </row>
    <row r="121" spans="1:14" x14ac:dyDescent="0.3">
      <c r="A121" s="62">
        <v>45103</v>
      </c>
      <c r="B121" t="s">
        <v>69</v>
      </c>
      <c r="C121" t="s">
        <v>15</v>
      </c>
      <c r="D121" t="s">
        <v>28</v>
      </c>
      <c r="E121" t="s">
        <v>24</v>
      </c>
      <c r="F121" t="s">
        <v>32</v>
      </c>
      <c r="G121" t="s">
        <v>90</v>
      </c>
      <c r="H121" t="s">
        <v>26</v>
      </c>
      <c r="I121">
        <v>5066</v>
      </c>
      <c r="J121">
        <v>0.4</v>
      </c>
      <c r="K121">
        <v>2026.4</v>
      </c>
      <c r="L121" t="s">
        <v>20</v>
      </c>
      <c r="M121" t="s">
        <v>21</v>
      </c>
      <c r="N121" t="s">
        <v>30</v>
      </c>
    </row>
    <row r="122" spans="1:14" x14ac:dyDescent="0.3">
      <c r="A122" s="62">
        <v>45104</v>
      </c>
      <c r="B122" t="s">
        <v>69</v>
      </c>
      <c r="C122" t="s">
        <v>15</v>
      </c>
      <c r="D122" t="s">
        <v>43</v>
      </c>
      <c r="E122" t="s">
        <v>24</v>
      </c>
      <c r="F122" t="s">
        <v>18</v>
      </c>
      <c r="G122" t="s">
        <v>91</v>
      </c>
      <c r="H122" t="s">
        <v>42</v>
      </c>
      <c r="I122">
        <v>4429</v>
      </c>
      <c r="J122">
        <v>0.3</v>
      </c>
      <c r="K122">
        <v>1328.7</v>
      </c>
      <c r="L122" t="s">
        <v>20</v>
      </c>
      <c r="M122" t="s">
        <v>25</v>
      </c>
      <c r="N122" t="s">
        <v>34</v>
      </c>
    </row>
    <row r="123" spans="1:14" x14ac:dyDescent="0.3">
      <c r="A123" s="62">
        <v>45106</v>
      </c>
      <c r="B123" t="s">
        <v>69</v>
      </c>
      <c r="C123" t="s">
        <v>15</v>
      </c>
      <c r="D123" t="s">
        <v>60</v>
      </c>
      <c r="E123" t="s">
        <v>24</v>
      </c>
      <c r="F123" t="s">
        <v>18</v>
      </c>
      <c r="G123" t="s">
        <v>91</v>
      </c>
      <c r="H123" t="s">
        <v>29</v>
      </c>
      <c r="I123">
        <v>2663</v>
      </c>
      <c r="J123">
        <v>0.3</v>
      </c>
      <c r="K123">
        <v>798.9</v>
      </c>
      <c r="L123" t="s">
        <v>20</v>
      </c>
      <c r="M123" t="s">
        <v>25</v>
      </c>
      <c r="N123" t="s">
        <v>30</v>
      </c>
    </row>
    <row r="124" spans="1:14" x14ac:dyDescent="0.3">
      <c r="A124" s="62">
        <v>45108</v>
      </c>
      <c r="B124" t="s">
        <v>71</v>
      </c>
      <c r="C124" t="s">
        <v>15</v>
      </c>
      <c r="D124" t="s">
        <v>40</v>
      </c>
      <c r="E124" t="s">
        <v>17</v>
      </c>
      <c r="F124" t="s">
        <v>41</v>
      </c>
      <c r="G124" t="s">
        <v>89</v>
      </c>
      <c r="H124" t="s">
        <v>33</v>
      </c>
      <c r="I124">
        <v>5028</v>
      </c>
      <c r="J124">
        <v>0.25</v>
      </c>
      <c r="K124">
        <v>1257</v>
      </c>
      <c r="L124" t="s">
        <v>27</v>
      </c>
      <c r="M124" t="s">
        <v>46</v>
      </c>
      <c r="N124" t="s">
        <v>30</v>
      </c>
    </row>
    <row r="125" spans="1:14" x14ac:dyDescent="0.3">
      <c r="A125" s="62">
        <v>45109</v>
      </c>
      <c r="B125" t="s">
        <v>71</v>
      </c>
      <c r="C125" t="s">
        <v>15</v>
      </c>
      <c r="D125" t="s">
        <v>28</v>
      </c>
      <c r="E125" t="s">
        <v>24</v>
      </c>
      <c r="F125" t="s">
        <v>25</v>
      </c>
      <c r="G125" t="s">
        <v>91</v>
      </c>
      <c r="H125" t="s">
        <v>33</v>
      </c>
      <c r="I125">
        <v>5871</v>
      </c>
      <c r="J125">
        <v>0.25</v>
      </c>
      <c r="K125">
        <v>1467.75</v>
      </c>
      <c r="L125" t="s">
        <v>27</v>
      </c>
      <c r="M125" t="s">
        <v>21</v>
      </c>
      <c r="N125" t="s">
        <v>22</v>
      </c>
    </row>
    <row r="126" spans="1:14" x14ac:dyDescent="0.3">
      <c r="A126" s="62">
        <v>45110</v>
      </c>
      <c r="B126" t="s">
        <v>71</v>
      </c>
      <c r="C126" t="s">
        <v>15</v>
      </c>
      <c r="D126" t="s">
        <v>52</v>
      </c>
      <c r="E126" t="s">
        <v>17</v>
      </c>
      <c r="F126" t="s">
        <v>32</v>
      </c>
      <c r="G126" t="s">
        <v>90</v>
      </c>
      <c r="H126" t="s">
        <v>29</v>
      </c>
      <c r="I126">
        <v>6735</v>
      </c>
      <c r="J126">
        <v>0.4</v>
      </c>
      <c r="K126">
        <v>2694</v>
      </c>
      <c r="L126" t="s">
        <v>20</v>
      </c>
      <c r="M126" t="s">
        <v>46</v>
      </c>
      <c r="N126" t="s">
        <v>30</v>
      </c>
    </row>
    <row r="127" spans="1:14" x14ac:dyDescent="0.3">
      <c r="A127" s="62">
        <v>45110</v>
      </c>
      <c r="B127" t="s">
        <v>71</v>
      </c>
      <c r="C127" t="s">
        <v>15</v>
      </c>
      <c r="D127" t="s">
        <v>40</v>
      </c>
      <c r="E127" t="s">
        <v>17</v>
      </c>
      <c r="F127" t="s">
        <v>32</v>
      </c>
      <c r="G127" t="s">
        <v>90</v>
      </c>
      <c r="H127" t="s">
        <v>42</v>
      </c>
      <c r="I127">
        <v>7042</v>
      </c>
      <c r="J127">
        <v>0.4</v>
      </c>
      <c r="K127">
        <v>2816.8</v>
      </c>
      <c r="L127" t="s">
        <v>20</v>
      </c>
      <c r="M127" t="s">
        <v>21</v>
      </c>
      <c r="N127" t="s">
        <v>37</v>
      </c>
    </row>
    <row r="128" spans="1:14" x14ac:dyDescent="0.3">
      <c r="A128" s="62">
        <v>45113</v>
      </c>
      <c r="B128" t="s">
        <v>71</v>
      </c>
      <c r="C128" t="s">
        <v>15</v>
      </c>
      <c r="D128" t="s">
        <v>38</v>
      </c>
      <c r="E128" t="s">
        <v>24</v>
      </c>
      <c r="F128" t="s">
        <v>18</v>
      </c>
      <c r="G128" t="s">
        <v>91</v>
      </c>
      <c r="H128" t="s">
        <v>29</v>
      </c>
      <c r="I128">
        <v>6997</v>
      </c>
      <c r="J128">
        <v>0.3</v>
      </c>
      <c r="K128">
        <v>2099.1</v>
      </c>
      <c r="L128" t="s">
        <v>20</v>
      </c>
      <c r="M128" t="s">
        <v>46</v>
      </c>
      <c r="N128" t="s">
        <v>30</v>
      </c>
    </row>
    <row r="129" spans="1:14" x14ac:dyDescent="0.3">
      <c r="A129" s="62">
        <v>45117</v>
      </c>
      <c r="B129" t="s">
        <v>71</v>
      </c>
      <c r="C129" t="s">
        <v>15</v>
      </c>
      <c r="D129" t="s">
        <v>50</v>
      </c>
      <c r="E129" t="s">
        <v>17</v>
      </c>
      <c r="F129" t="s">
        <v>41</v>
      </c>
      <c r="G129" t="s">
        <v>89</v>
      </c>
      <c r="H129" t="s">
        <v>33</v>
      </c>
      <c r="I129">
        <v>6913</v>
      </c>
      <c r="J129">
        <v>0.25</v>
      </c>
      <c r="K129">
        <v>1728.25</v>
      </c>
      <c r="L129" t="s">
        <v>27</v>
      </c>
      <c r="M129" t="s">
        <v>25</v>
      </c>
      <c r="N129" t="s">
        <v>34</v>
      </c>
    </row>
    <row r="130" spans="1:14" x14ac:dyDescent="0.3">
      <c r="A130" s="62">
        <v>45118</v>
      </c>
      <c r="B130" t="s">
        <v>71</v>
      </c>
      <c r="C130" t="s">
        <v>15</v>
      </c>
      <c r="D130" t="s">
        <v>52</v>
      </c>
      <c r="E130" t="s">
        <v>17</v>
      </c>
      <c r="F130" t="s">
        <v>41</v>
      </c>
      <c r="G130" t="s">
        <v>89</v>
      </c>
      <c r="H130" t="s">
        <v>19</v>
      </c>
      <c r="I130">
        <v>6768</v>
      </c>
      <c r="J130">
        <v>0.25</v>
      </c>
      <c r="K130">
        <v>1692</v>
      </c>
      <c r="L130" t="s">
        <v>20</v>
      </c>
      <c r="M130" t="s">
        <v>46</v>
      </c>
      <c r="N130" t="s">
        <v>22</v>
      </c>
    </row>
    <row r="131" spans="1:14" x14ac:dyDescent="0.3">
      <c r="A131" s="62">
        <v>45118</v>
      </c>
      <c r="B131" t="s">
        <v>71</v>
      </c>
      <c r="C131" t="s">
        <v>15</v>
      </c>
      <c r="D131" t="s">
        <v>28</v>
      </c>
      <c r="E131" t="s">
        <v>24</v>
      </c>
      <c r="F131" t="s">
        <v>41</v>
      </c>
      <c r="G131" t="s">
        <v>89</v>
      </c>
      <c r="H131" t="s">
        <v>42</v>
      </c>
      <c r="I131">
        <v>5624</v>
      </c>
      <c r="J131">
        <v>0.25</v>
      </c>
      <c r="K131">
        <v>1406</v>
      </c>
      <c r="L131" t="s">
        <v>20</v>
      </c>
      <c r="M131" t="s">
        <v>46</v>
      </c>
      <c r="N131" t="s">
        <v>22</v>
      </c>
    </row>
    <row r="132" spans="1:14" x14ac:dyDescent="0.3">
      <c r="A132" s="62">
        <v>45118</v>
      </c>
      <c r="B132" t="s">
        <v>71</v>
      </c>
      <c r="C132" t="s">
        <v>15</v>
      </c>
      <c r="D132" t="s">
        <v>28</v>
      </c>
      <c r="E132" t="s">
        <v>24</v>
      </c>
      <c r="F132" t="s">
        <v>32</v>
      </c>
      <c r="G132" t="s">
        <v>90</v>
      </c>
      <c r="H132" t="s">
        <v>33</v>
      </c>
      <c r="I132">
        <v>7247</v>
      </c>
      <c r="J132">
        <v>0.4</v>
      </c>
      <c r="K132">
        <v>2898.8</v>
      </c>
      <c r="L132" t="s">
        <v>20</v>
      </c>
      <c r="M132" t="s">
        <v>21</v>
      </c>
      <c r="N132" t="s">
        <v>22</v>
      </c>
    </row>
    <row r="133" spans="1:14" x14ac:dyDescent="0.3">
      <c r="A133" s="62">
        <v>45120</v>
      </c>
      <c r="B133" t="s">
        <v>71</v>
      </c>
      <c r="C133" t="s">
        <v>15</v>
      </c>
      <c r="D133" t="s">
        <v>44</v>
      </c>
      <c r="E133" t="s">
        <v>24</v>
      </c>
      <c r="F133" t="s">
        <v>25</v>
      </c>
      <c r="G133" t="s">
        <v>91</v>
      </c>
      <c r="H133" t="s">
        <v>29</v>
      </c>
      <c r="I133">
        <v>7252</v>
      </c>
      <c r="J133">
        <v>0.25</v>
      </c>
      <c r="K133">
        <v>1813</v>
      </c>
      <c r="L133" t="s">
        <v>27</v>
      </c>
      <c r="M133" t="s">
        <v>46</v>
      </c>
      <c r="N133" t="s">
        <v>22</v>
      </c>
    </row>
    <row r="134" spans="1:14" x14ac:dyDescent="0.3">
      <c r="A134" s="62">
        <v>45122</v>
      </c>
      <c r="B134" t="s">
        <v>71</v>
      </c>
      <c r="C134" t="s">
        <v>15</v>
      </c>
      <c r="D134" t="s">
        <v>36</v>
      </c>
      <c r="E134" t="s">
        <v>17</v>
      </c>
      <c r="F134" t="s">
        <v>32</v>
      </c>
      <c r="G134" t="s">
        <v>90</v>
      </c>
      <c r="H134" t="s">
        <v>42</v>
      </c>
      <c r="I134">
        <v>5980</v>
      </c>
      <c r="J134">
        <v>0.4</v>
      </c>
      <c r="K134">
        <v>2392</v>
      </c>
      <c r="L134" t="s">
        <v>27</v>
      </c>
      <c r="M134" t="s">
        <v>25</v>
      </c>
      <c r="N134" t="s">
        <v>37</v>
      </c>
    </row>
    <row r="135" spans="1:14" x14ac:dyDescent="0.3">
      <c r="A135" s="62">
        <v>45122</v>
      </c>
      <c r="B135" t="s">
        <v>71</v>
      </c>
      <c r="C135" t="s">
        <v>15</v>
      </c>
      <c r="D135" t="s">
        <v>47</v>
      </c>
      <c r="E135" t="s">
        <v>24</v>
      </c>
      <c r="F135" t="s">
        <v>39</v>
      </c>
      <c r="G135" t="s">
        <v>90</v>
      </c>
      <c r="H135" t="s">
        <v>19</v>
      </c>
      <c r="I135">
        <v>7259</v>
      </c>
      <c r="J135">
        <v>0.35</v>
      </c>
      <c r="K135">
        <v>2540.6499999999996</v>
      </c>
      <c r="L135" t="s">
        <v>20</v>
      </c>
      <c r="M135" t="s">
        <v>21</v>
      </c>
      <c r="N135" t="s">
        <v>34</v>
      </c>
    </row>
    <row r="136" spans="1:14" x14ac:dyDescent="0.3">
      <c r="A136" s="62">
        <v>45122</v>
      </c>
      <c r="B136" t="s">
        <v>71</v>
      </c>
      <c r="C136" t="s">
        <v>15</v>
      </c>
      <c r="D136" t="s">
        <v>47</v>
      </c>
      <c r="E136" t="s">
        <v>24</v>
      </c>
      <c r="F136" t="s">
        <v>39</v>
      </c>
      <c r="G136" t="s">
        <v>90</v>
      </c>
      <c r="H136" t="s">
        <v>33</v>
      </c>
      <c r="I136">
        <v>6125</v>
      </c>
      <c r="J136">
        <v>0.35</v>
      </c>
      <c r="K136">
        <v>2143.75</v>
      </c>
      <c r="L136" t="s">
        <v>20</v>
      </c>
      <c r="M136" t="s">
        <v>25</v>
      </c>
      <c r="N136" t="s">
        <v>30</v>
      </c>
    </row>
    <row r="137" spans="1:14" x14ac:dyDescent="0.3">
      <c r="A137" s="62">
        <v>45127</v>
      </c>
      <c r="B137" t="s">
        <v>71</v>
      </c>
      <c r="C137" t="s">
        <v>15</v>
      </c>
      <c r="D137" t="s">
        <v>48</v>
      </c>
      <c r="E137" t="s">
        <v>17</v>
      </c>
      <c r="F137" t="s">
        <v>25</v>
      </c>
      <c r="G137" t="s">
        <v>91</v>
      </c>
      <c r="H137" t="s">
        <v>19</v>
      </c>
      <c r="I137">
        <v>5780</v>
      </c>
      <c r="J137">
        <v>0.25</v>
      </c>
      <c r="K137">
        <v>1445</v>
      </c>
      <c r="L137" t="s">
        <v>20</v>
      </c>
      <c r="M137" t="s">
        <v>21</v>
      </c>
      <c r="N137" t="s">
        <v>30</v>
      </c>
    </row>
    <row r="138" spans="1:14" x14ac:dyDescent="0.3">
      <c r="A138" s="62">
        <v>45127</v>
      </c>
      <c r="B138" t="s">
        <v>71</v>
      </c>
      <c r="C138" t="s">
        <v>15</v>
      </c>
      <c r="D138" t="s">
        <v>52</v>
      </c>
      <c r="E138" t="s">
        <v>17</v>
      </c>
      <c r="F138" t="s">
        <v>32</v>
      </c>
      <c r="G138" t="s">
        <v>90</v>
      </c>
      <c r="H138" t="s">
        <v>26</v>
      </c>
      <c r="I138">
        <v>5777</v>
      </c>
      <c r="J138">
        <v>0.4</v>
      </c>
      <c r="K138">
        <v>2310.8000000000002</v>
      </c>
      <c r="L138" t="s">
        <v>20</v>
      </c>
      <c r="M138" t="s">
        <v>46</v>
      </c>
      <c r="N138" t="s">
        <v>30</v>
      </c>
    </row>
    <row r="139" spans="1:14" x14ac:dyDescent="0.3">
      <c r="A139" s="62">
        <v>45137</v>
      </c>
      <c r="B139" t="s">
        <v>71</v>
      </c>
      <c r="C139" t="s">
        <v>15</v>
      </c>
      <c r="D139" t="s">
        <v>56</v>
      </c>
      <c r="E139" t="s">
        <v>17</v>
      </c>
      <c r="F139" t="s">
        <v>25</v>
      </c>
      <c r="G139" t="s">
        <v>91</v>
      </c>
      <c r="H139" t="s">
        <v>26</v>
      </c>
      <c r="I139">
        <v>7325</v>
      </c>
      <c r="J139">
        <v>0.25</v>
      </c>
      <c r="K139">
        <v>1831.25</v>
      </c>
      <c r="L139" t="s">
        <v>20</v>
      </c>
      <c r="M139" t="s">
        <v>21</v>
      </c>
      <c r="N139" t="s">
        <v>37</v>
      </c>
    </row>
    <row r="140" spans="1:14" x14ac:dyDescent="0.3">
      <c r="A140" s="62">
        <v>45137</v>
      </c>
      <c r="B140" t="s">
        <v>71</v>
      </c>
      <c r="C140" t="s">
        <v>15</v>
      </c>
      <c r="D140" t="s">
        <v>52</v>
      </c>
      <c r="E140" t="s">
        <v>17</v>
      </c>
      <c r="F140" t="s">
        <v>25</v>
      </c>
      <c r="G140" t="s">
        <v>91</v>
      </c>
      <c r="H140" t="s">
        <v>33</v>
      </c>
      <c r="I140">
        <v>7139</v>
      </c>
      <c r="J140">
        <v>0.25</v>
      </c>
      <c r="K140">
        <v>1784.75</v>
      </c>
      <c r="L140" t="s">
        <v>27</v>
      </c>
      <c r="M140" t="s">
        <v>46</v>
      </c>
      <c r="N140" t="s">
        <v>34</v>
      </c>
    </row>
    <row r="141" spans="1:14" x14ac:dyDescent="0.3">
      <c r="A141" s="62">
        <v>45137</v>
      </c>
      <c r="B141" t="s">
        <v>71</v>
      </c>
      <c r="C141" t="s">
        <v>15</v>
      </c>
      <c r="D141" t="s">
        <v>58</v>
      </c>
      <c r="E141" t="s">
        <v>24</v>
      </c>
      <c r="F141" t="s">
        <v>18</v>
      </c>
      <c r="G141" t="s">
        <v>91</v>
      </c>
      <c r="H141" t="s">
        <v>26</v>
      </c>
      <c r="I141">
        <v>5676</v>
      </c>
      <c r="J141">
        <v>0.3</v>
      </c>
      <c r="K141">
        <v>1702.8</v>
      </c>
      <c r="L141" t="s">
        <v>27</v>
      </c>
      <c r="M141" t="s">
        <v>21</v>
      </c>
      <c r="N141" t="s">
        <v>34</v>
      </c>
    </row>
    <row r="142" spans="1:14" x14ac:dyDescent="0.3">
      <c r="A142" s="62">
        <v>45137</v>
      </c>
      <c r="B142" t="s">
        <v>71</v>
      </c>
      <c r="C142" t="s">
        <v>15</v>
      </c>
      <c r="D142" t="s">
        <v>57</v>
      </c>
      <c r="E142" t="s">
        <v>24</v>
      </c>
      <c r="F142" t="s">
        <v>18</v>
      </c>
      <c r="G142" t="s">
        <v>91</v>
      </c>
      <c r="H142" t="s">
        <v>33</v>
      </c>
      <c r="I142">
        <v>6440</v>
      </c>
      <c r="J142">
        <v>0.3</v>
      </c>
      <c r="K142">
        <v>1932</v>
      </c>
      <c r="L142" t="s">
        <v>20</v>
      </c>
      <c r="M142" t="s">
        <v>25</v>
      </c>
      <c r="N142" t="s">
        <v>34</v>
      </c>
    </row>
    <row r="143" spans="1:14" x14ac:dyDescent="0.3">
      <c r="A143" s="62">
        <v>45138</v>
      </c>
      <c r="B143" t="s">
        <v>71</v>
      </c>
      <c r="C143" t="s">
        <v>15</v>
      </c>
      <c r="D143" t="s">
        <v>38</v>
      </c>
      <c r="E143" t="s">
        <v>24</v>
      </c>
      <c r="F143" t="s">
        <v>41</v>
      </c>
      <c r="G143" t="s">
        <v>89</v>
      </c>
      <c r="H143" t="s">
        <v>26</v>
      </c>
      <c r="I143">
        <v>6331</v>
      </c>
      <c r="J143">
        <v>0.25</v>
      </c>
      <c r="K143">
        <v>1582.75</v>
      </c>
      <c r="L143" t="s">
        <v>20</v>
      </c>
      <c r="M143" t="s">
        <v>46</v>
      </c>
      <c r="N143" t="s">
        <v>34</v>
      </c>
    </row>
    <row r="144" spans="1:14" x14ac:dyDescent="0.3">
      <c r="A144" s="62">
        <v>45143</v>
      </c>
      <c r="B144" t="s">
        <v>72</v>
      </c>
      <c r="C144" t="s">
        <v>15</v>
      </c>
      <c r="D144" t="s">
        <v>45</v>
      </c>
      <c r="E144" t="s">
        <v>17</v>
      </c>
      <c r="F144" t="s">
        <v>39</v>
      </c>
      <c r="G144" t="s">
        <v>90</v>
      </c>
      <c r="H144" t="s">
        <v>33</v>
      </c>
      <c r="I144">
        <v>7410</v>
      </c>
      <c r="J144">
        <v>0.35</v>
      </c>
      <c r="K144">
        <v>2593.5</v>
      </c>
      <c r="L144" t="s">
        <v>27</v>
      </c>
      <c r="M144" t="s">
        <v>21</v>
      </c>
      <c r="N144" t="s">
        <v>22</v>
      </c>
    </row>
    <row r="145" spans="1:14" x14ac:dyDescent="0.3">
      <c r="A145" s="62">
        <v>45143</v>
      </c>
      <c r="B145" t="s">
        <v>72</v>
      </c>
      <c r="C145" t="s">
        <v>15</v>
      </c>
      <c r="D145" t="s">
        <v>59</v>
      </c>
      <c r="E145" t="s">
        <v>24</v>
      </c>
      <c r="F145" t="s">
        <v>41</v>
      </c>
      <c r="G145" t="s">
        <v>89</v>
      </c>
      <c r="H145" t="s">
        <v>33</v>
      </c>
      <c r="I145">
        <v>6926</v>
      </c>
      <c r="J145">
        <v>0.25</v>
      </c>
      <c r="K145">
        <v>1731.5</v>
      </c>
      <c r="L145" t="s">
        <v>27</v>
      </c>
      <c r="M145" t="s">
        <v>46</v>
      </c>
      <c r="N145" t="s">
        <v>30</v>
      </c>
    </row>
    <row r="146" spans="1:14" x14ac:dyDescent="0.3">
      <c r="A146" s="62">
        <v>45143</v>
      </c>
      <c r="B146" t="s">
        <v>72</v>
      </c>
      <c r="C146" t="s">
        <v>15</v>
      </c>
      <c r="D146" t="s">
        <v>73</v>
      </c>
      <c r="E146" t="s">
        <v>24</v>
      </c>
      <c r="F146" t="s">
        <v>39</v>
      </c>
      <c r="G146" t="s">
        <v>90</v>
      </c>
      <c r="H146" t="s">
        <v>33</v>
      </c>
      <c r="I146">
        <v>6805</v>
      </c>
      <c r="J146">
        <v>0.35</v>
      </c>
      <c r="K146">
        <v>2381.75</v>
      </c>
      <c r="L146" t="s">
        <v>20</v>
      </c>
      <c r="M146" t="s">
        <v>21</v>
      </c>
      <c r="N146" t="s">
        <v>22</v>
      </c>
    </row>
    <row r="147" spans="1:14" x14ac:dyDescent="0.3">
      <c r="A147" s="62">
        <v>45145</v>
      </c>
      <c r="B147" t="s">
        <v>72</v>
      </c>
      <c r="C147" t="s">
        <v>15</v>
      </c>
      <c r="D147" t="s">
        <v>56</v>
      </c>
      <c r="E147" t="s">
        <v>17</v>
      </c>
      <c r="F147" t="s">
        <v>25</v>
      </c>
      <c r="G147" t="s">
        <v>91</v>
      </c>
      <c r="H147" t="s">
        <v>26</v>
      </c>
      <c r="I147">
        <v>7689</v>
      </c>
      <c r="J147">
        <v>0.25</v>
      </c>
      <c r="K147">
        <v>1922.25</v>
      </c>
      <c r="L147" t="s">
        <v>27</v>
      </c>
      <c r="M147" t="s">
        <v>21</v>
      </c>
      <c r="N147" t="s">
        <v>34</v>
      </c>
    </row>
    <row r="148" spans="1:14" x14ac:dyDescent="0.3">
      <c r="A148" s="62">
        <v>45149</v>
      </c>
      <c r="B148" t="s">
        <v>72</v>
      </c>
      <c r="C148" t="s">
        <v>15</v>
      </c>
      <c r="D148" t="s">
        <v>43</v>
      </c>
      <c r="E148" t="s">
        <v>24</v>
      </c>
      <c r="F148" t="s">
        <v>41</v>
      </c>
      <c r="G148" t="s">
        <v>89</v>
      </c>
      <c r="H148" t="s">
        <v>42</v>
      </c>
      <c r="I148">
        <v>5830</v>
      </c>
      <c r="J148">
        <v>0.25</v>
      </c>
      <c r="K148">
        <v>1457.5</v>
      </c>
      <c r="L148" t="s">
        <v>20</v>
      </c>
      <c r="M148" t="s">
        <v>25</v>
      </c>
      <c r="N148" t="s">
        <v>30</v>
      </c>
    </row>
    <row r="149" spans="1:14" x14ac:dyDescent="0.3">
      <c r="A149" s="62">
        <v>45150</v>
      </c>
      <c r="B149" t="s">
        <v>72</v>
      </c>
      <c r="C149" t="s">
        <v>15</v>
      </c>
      <c r="D149" t="s">
        <v>73</v>
      </c>
      <c r="E149" t="s">
        <v>24</v>
      </c>
      <c r="F149" t="s">
        <v>41</v>
      </c>
      <c r="G149" t="s">
        <v>89</v>
      </c>
      <c r="H149" t="s">
        <v>26</v>
      </c>
      <c r="I149">
        <v>6799</v>
      </c>
      <c r="J149">
        <v>0.25</v>
      </c>
      <c r="K149">
        <v>1699.75</v>
      </c>
      <c r="L149" t="s">
        <v>20</v>
      </c>
      <c r="M149" t="s">
        <v>25</v>
      </c>
      <c r="N149" t="s">
        <v>37</v>
      </c>
    </row>
    <row r="150" spans="1:14" x14ac:dyDescent="0.3">
      <c r="A150" s="62">
        <v>45155</v>
      </c>
      <c r="B150" t="s">
        <v>72</v>
      </c>
      <c r="C150" t="s">
        <v>15</v>
      </c>
      <c r="D150" t="s">
        <v>60</v>
      </c>
      <c r="E150" t="s">
        <v>24</v>
      </c>
      <c r="F150" t="s">
        <v>41</v>
      </c>
      <c r="G150" t="s">
        <v>89</v>
      </c>
      <c r="H150" t="s">
        <v>33</v>
      </c>
      <c r="I150">
        <v>5750</v>
      </c>
      <c r="J150">
        <v>0.25</v>
      </c>
      <c r="K150">
        <v>1437.5</v>
      </c>
      <c r="L150" t="s">
        <v>20</v>
      </c>
      <c r="M150" t="s">
        <v>21</v>
      </c>
      <c r="N150" t="s">
        <v>22</v>
      </c>
    </row>
    <row r="151" spans="1:14" x14ac:dyDescent="0.3">
      <c r="A151" s="62">
        <v>45156</v>
      </c>
      <c r="B151" t="s">
        <v>72</v>
      </c>
      <c r="C151" t="s">
        <v>15</v>
      </c>
      <c r="D151" t="s">
        <v>49</v>
      </c>
      <c r="E151" t="s">
        <v>17</v>
      </c>
      <c r="F151" t="s">
        <v>41</v>
      </c>
      <c r="G151" t="s">
        <v>89</v>
      </c>
      <c r="H151" t="s">
        <v>26</v>
      </c>
      <c r="I151">
        <v>7447</v>
      </c>
      <c r="J151">
        <v>0.25</v>
      </c>
      <c r="K151">
        <v>1861.75</v>
      </c>
      <c r="L151" t="s">
        <v>20</v>
      </c>
      <c r="M151" t="s">
        <v>21</v>
      </c>
      <c r="N151" t="s">
        <v>37</v>
      </c>
    </row>
    <row r="152" spans="1:14" x14ac:dyDescent="0.3">
      <c r="A152" s="62">
        <v>45156</v>
      </c>
      <c r="B152" t="s">
        <v>72</v>
      </c>
      <c r="C152" t="s">
        <v>15</v>
      </c>
      <c r="D152" t="s">
        <v>48</v>
      </c>
      <c r="E152" t="s">
        <v>17</v>
      </c>
      <c r="F152" t="s">
        <v>41</v>
      </c>
      <c r="G152" t="s">
        <v>89</v>
      </c>
      <c r="H152" t="s">
        <v>19</v>
      </c>
      <c r="I152">
        <v>7243</v>
      </c>
      <c r="J152">
        <v>0.25</v>
      </c>
      <c r="K152">
        <v>1810.75</v>
      </c>
      <c r="L152" t="s">
        <v>20</v>
      </c>
      <c r="M152" t="s">
        <v>21</v>
      </c>
      <c r="N152" t="s">
        <v>37</v>
      </c>
    </row>
    <row r="153" spans="1:14" x14ac:dyDescent="0.3">
      <c r="A153" s="62">
        <v>45156</v>
      </c>
      <c r="B153" t="s">
        <v>72</v>
      </c>
      <c r="C153" t="s">
        <v>15</v>
      </c>
      <c r="D153" t="s">
        <v>35</v>
      </c>
      <c r="E153" t="s">
        <v>24</v>
      </c>
      <c r="F153" t="s">
        <v>25</v>
      </c>
      <c r="G153" t="s">
        <v>91</v>
      </c>
      <c r="H153" t="s">
        <v>19</v>
      </c>
      <c r="I153">
        <v>5541</v>
      </c>
      <c r="J153">
        <v>0.25</v>
      </c>
      <c r="K153">
        <v>1385.25</v>
      </c>
      <c r="L153" t="s">
        <v>27</v>
      </c>
      <c r="M153" t="s">
        <v>25</v>
      </c>
      <c r="N153" t="s">
        <v>34</v>
      </c>
    </row>
    <row r="154" spans="1:14" x14ac:dyDescent="0.3">
      <c r="A154" s="62">
        <v>45156</v>
      </c>
      <c r="B154" t="s">
        <v>72</v>
      </c>
      <c r="C154" t="s">
        <v>15</v>
      </c>
      <c r="D154" t="s">
        <v>57</v>
      </c>
      <c r="E154" t="s">
        <v>24</v>
      </c>
      <c r="F154" t="s">
        <v>25</v>
      </c>
      <c r="G154" t="s">
        <v>91</v>
      </c>
      <c r="H154" t="s">
        <v>19</v>
      </c>
      <c r="I154">
        <v>6457</v>
      </c>
      <c r="J154">
        <v>0.25</v>
      </c>
      <c r="K154">
        <v>1614.25</v>
      </c>
      <c r="L154" t="s">
        <v>20</v>
      </c>
      <c r="M154" t="s">
        <v>21</v>
      </c>
      <c r="N154" t="s">
        <v>34</v>
      </c>
    </row>
    <row r="155" spans="1:14" x14ac:dyDescent="0.3">
      <c r="A155" s="62">
        <v>45158</v>
      </c>
      <c r="B155" t="s">
        <v>72</v>
      </c>
      <c r="C155" t="s">
        <v>15</v>
      </c>
      <c r="D155" t="s">
        <v>56</v>
      </c>
      <c r="E155" t="s">
        <v>17</v>
      </c>
      <c r="F155" t="s">
        <v>39</v>
      </c>
      <c r="G155" t="s">
        <v>90</v>
      </c>
      <c r="H155" t="s">
        <v>19</v>
      </c>
      <c r="I155">
        <v>5696</v>
      </c>
      <c r="J155">
        <v>0.35</v>
      </c>
      <c r="K155">
        <v>1993.6</v>
      </c>
      <c r="L155" t="s">
        <v>20</v>
      </c>
      <c r="M155" t="s">
        <v>46</v>
      </c>
      <c r="N155" t="s">
        <v>37</v>
      </c>
    </row>
    <row r="156" spans="1:14" x14ac:dyDescent="0.3">
      <c r="A156" s="62">
        <v>45160</v>
      </c>
      <c r="B156" t="s">
        <v>72</v>
      </c>
      <c r="C156" t="s">
        <v>15</v>
      </c>
      <c r="D156" t="s">
        <v>44</v>
      </c>
      <c r="E156" t="s">
        <v>24</v>
      </c>
      <c r="F156" t="s">
        <v>32</v>
      </c>
      <c r="G156" t="s">
        <v>90</v>
      </c>
      <c r="H156" t="s">
        <v>42</v>
      </c>
      <c r="I156">
        <v>5218</v>
      </c>
      <c r="J156">
        <v>0.4</v>
      </c>
      <c r="K156">
        <v>2087.2000000000003</v>
      </c>
      <c r="L156" t="s">
        <v>20</v>
      </c>
      <c r="M156" t="s">
        <v>46</v>
      </c>
      <c r="N156" t="s">
        <v>30</v>
      </c>
    </row>
    <row r="157" spans="1:14" x14ac:dyDescent="0.3">
      <c r="A157" s="62">
        <v>45164</v>
      </c>
      <c r="B157" t="s">
        <v>72</v>
      </c>
      <c r="C157" t="s">
        <v>15</v>
      </c>
      <c r="D157" t="s">
        <v>48</v>
      </c>
      <c r="E157" t="s">
        <v>17</v>
      </c>
      <c r="F157" t="s">
        <v>39</v>
      </c>
      <c r="G157" t="s">
        <v>90</v>
      </c>
      <c r="H157" t="s">
        <v>33</v>
      </c>
      <c r="I157">
        <v>7285</v>
      </c>
      <c r="J157">
        <v>0.35</v>
      </c>
      <c r="K157">
        <v>2549.75</v>
      </c>
      <c r="L157" t="s">
        <v>20</v>
      </c>
      <c r="M157" t="s">
        <v>25</v>
      </c>
      <c r="N157" t="s">
        <v>37</v>
      </c>
    </row>
    <row r="158" spans="1:14" x14ac:dyDescent="0.3">
      <c r="A158" s="62">
        <v>45166</v>
      </c>
      <c r="B158" t="s">
        <v>72</v>
      </c>
      <c r="C158" t="s">
        <v>15</v>
      </c>
      <c r="D158" t="s">
        <v>45</v>
      </c>
      <c r="E158" t="s">
        <v>17</v>
      </c>
      <c r="F158" t="s">
        <v>41</v>
      </c>
      <c r="G158" t="s">
        <v>89</v>
      </c>
      <c r="H158" t="s">
        <v>33</v>
      </c>
      <c r="I158">
        <v>7369</v>
      </c>
      <c r="J158">
        <v>0.25</v>
      </c>
      <c r="K158">
        <v>1842.25</v>
      </c>
      <c r="L158" t="s">
        <v>20</v>
      </c>
      <c r="M158" t="s">
        <v>21</v>
      </c>
      <c r="N158" t="s">
        <v>30</v>
      </c>
    </row>
    <row r="159" spans="1:14" x14ac:dyDescent="0.3">
      <c r="A159" s="62">
        <v>45167</v>
      </c>
      <c r="B159" t="s">
        <v>72</v>
      </c>
      <c r="C159" t="s">
        <v>15</v>
      </c>
      <c r="D159" t="s">
        <v>49</v>
      </c>
      <c r="E159" t="s">
        <v>17</v>
      </c>
      <c r="F159" t="s">
        <v>41</v>
      </c>
      <c r="G159" t="s">
        <v>89</v>
      </c>
      <c r="H159" t="s">
        <v>26</v>
      </c>
      <c r="I159">
        <v>5698</v>
      </c>
      <c r="J159">
        <v>0.25</v>
      </c>
      <c r="K159">
        <v>1424.5</v>
      </c>
      <c r="L159" t="s">
        <v>20</v>
      </c>
      <c r="M159" t="s">
        <v>46</v>
      </c>
      <c r="N159" t="s">
        <v>37</v>
      </c>
    </row>
    <row r="160" spans="1:14" x14ac:dyDescent="0.3">
      <c r="A160" s="62">
        <v>45168</v>
      </c>
      <c r="B160" t="s">
        <v>72</v>
      </c>
      <c r="C160" t="s">
        <v>15</v>
      </c>
      <c r="D160" t="s">
        <v>54</v>
      </c>
      <c r="E160" t="s">
        <v>17</v>
      </c>
      <c r="F160" t="s">
        <v>18</v>
      </c>
      <c r="G160" t="s">
        <v>91</v>
      </c>
      <c r="H160" t="s">
        <v>29</v>
      </c>
      <c r="I160">
        <v>5938</v>
      </c>
      <c r="J160">
        <v>0.3</v>
      </c>
      <c r="K160">
        <v>1781.3999999999999</v>
      </c>
      <c r="L160" t="s">
        <v>20</v>
      </c>
      <c r="M160" t="s">
        <v>21</v>
      </c>
      <c r="N160" t="s">
        <v>34</v>
      </c>
    </row>
    <row r="161" spans="1:14" x14ac:dyDescent="0.3">
      <c r="A161" s="62">
        <v>45168</v>
      </c>
      <c r="B161" t="s">
        <v>72</v>
      </c>
      <c r="C161" t="s">
        <v>15</v>
      </c>
      <c r="D161" t="s">
        <v>58</v>
      </c>
      <c r="E161" t="s">
        <v>24</v>
      </c>
      <c r="F161" t="s">
        <v>41</v>
      </c>
      <c r="G161" t="s">
        <v>89</v>
      </c>
      <c r="H161" t="s">
        <v>33</v>
      </c>
      <c r="I161">
        <v>6844</v>
      </c>
      <c r="J161">
        <v>0.25</v>
      </c>
      <c r="K161">
        <v>1711</v>
      </c>
      <c r="L161" t="s">
        <v>20</v>
      </c>
      <c r="M161" t="s">
        <v>46</v>
      </c>
      <c r="N161" t="s">
        <v>37</v>
      </c>
    </row>
    <row r="162" spans="1:14" x14ac:dyDescent="0.3">
      <c r="A162" s="62">
        <v>45168</v>
      </c>
      <c r="B162" t="s">
        <v>72</v>
      </c>
      <c r="C162" t="s">
        <v>15</v>
      </c>
      <c r="D162" t="s">
        <v>38</v>
      </c>
      <c r="E162" t="s">
        <v>24</v>
      </c>
      <c r="F162" t="s">
        <v>41</v>
      </c>
      <c r="G162" t="s">
        <v>89</v>
      </c>
      <c r="H162" t="s">
        <v>42</v>
      </c>
      <c r="I162">
        <v>6002</v>
      </c>
      <c r="J162">
        <v>0.25</v>
      </c>
      <c r="K162">
        <v>1500.5</v>
      </c>
      <c r="L162" t="s">
        <v>20</v>
      </c>
      <c r="M162" t="s">
        <v>25</v>
      </c>
      <c r="N162" t="s">
        <v>37</v>
      </c>
    </row>
    <row r="163" spans="1:14" x14ac:dyDescent="0.3">
      <c r="A163" s="62">
        <v>45169</v>
      </c>
      <c r="B163" t="s">
        <v>72</v>
      </c>
      <c r="C163" t="s">
        <v>15</v>
      </c>
      <c r="D163" t="s">
        <v>50</v>
      </c>
      <c r="E163" t="s">
        <v>17</v>
      </c>
      <c r="F163" t="s">
        <v>41</v>
      </c>
      <c r="G163" t="s">
        <v>89</v>
      </c>
      <c r="H163" t="s">
        <v>29</v>
      </c>
      <c r="I163">
        <v>6511</v>
      </c>
      <c r="J163">
        <v>0.25</v>
      </c>
      <c r="K163">
        <v>1627.75</v>
      </c>
      <c r="L163" t="s">
        <v>20</v>
      </c>
      <c r="M163" t="s">
        <v>25</v>
      </c>
      <c r="N163" t="s">
        <v>34</v>
      </c>
    </row>
    <row r="164" spans="1:14" x14ac:dyDescent="0.3">
      <c r="A164" s="62">
        <v>45170</v>
      </c>
      <c r="B164" t="s">
        <v>74</v>
      </c>
      <c r="C164" t="s">
        <v>15</v>
      </c>
      <c r="D164" t="s">
        <v>73</v>
      </c>
      <c r="E164" t="s">
        <v>24</v>
      </c>
      <c r="F164" t="s">
        <v>25</v>
      </c>
      <c r="G164" t="s">
        <v>91</v>
      </c>
      <c r="H164" t="s">
        <v>33</v>
      </c>
      <c r="I164">
        <v>5417</v>
      </c>
      <c r="J164">
        <v>0.25</v>
      </c>
      <c r="K164">
        <v>1354.25</v>
      </c>
      <c r="L164" t="s">
        <v>20</v>
      </c>
      <c r="M164" t="s">
        <v>25</v>
      </c>
      <c r="N164" t="s">
        <v>34</v>
      </c>
    </row>
    <row r="165" spans="1:14" x14ac:dyDescent="0.3">
      <c r="A165" s="62">
        <v>45170</v>
      </c>
      <c r="B165" t="s">
        <v>74</v>
      </c>
      <c r="C165" t="s">
        <v>15</v>
      </c>
      <c r="D165" t="s">
        <v>57</v>
      </c>
      <c r="E165" t="s">
        <v>24</v>
      </c>
      <c r="F165" t="s">
        <v>18</v>
      </c>
      <c r="G165" t="s">
        <v>91</v>
      </c>
      <c r="H165" t="s">
        <v>42</v>
      </c>
      <c r="I165">
        <v>7304</v>
      </c>
      <c r="J165">
        <v>0.3</v>
      </c>
      <c r="K165">
        <v>2191.1999999999998</v>
      </c>
      <c r="L165" t="s">
        <v>20</v>
      </c>
      <c r="M165" t="s">
        <v>46</v>
      </c>
      <c r="N165" t="s">
        <v>22</v>
      </c>
    </row>
    <row r="166" spans="1:14" x14ac:dyDescent="0.3">
      <c r="A166" s="62">
        <v>45172</v>
      </c>
      <c r="B166" t="s">
        <v>74</v>
      </c>
      <c r="C166" t="s">
        <v>15</v>
      </c>
      <c r="D166" t="s">
        <v>57</v>
      </c>
      <c r="E166" t="s">
        <v>24</v>
      </c>
      <c r="F166" t="s">
        <v>32</v>
      </c>
      <c r="G166" t="s">
        <v>90</v>
      </c>
      <c r="H166" t="s">
        <v>33</v>
      </c>
      <c r="I166">
        <v>7582</v>
      </c>
      <c r="J166">
        <v>0.4</v>
      </c>
      <c r="K166">
        <v>3032.8</v>
      </c>
      <c r="L166" t="s">
        <v>20</v>
      </c>
      <c r="M166" t="s">
        <v>46</v>
      </c>
      <c r="N166" t="s">
        <v>34</v>
      </c>
    </row>
    <row r="167" spans="1:14" x14ac:dyDescent="0.3">
      <c r="A167" s="62">
        <v>45172</v>
      </c>
      <c r="B167" t="s">
        <v>74</v>
      </c>
      <c r="C167" t="s">
        <v>15</v>
      </c>
      <c r="D167" t="s">
        <v>60</v>
      </c>
      <c r="E167" t="s">
        <v>24</v>
      </c>
      <c r="F167" t="s">
        <v>25</v>
      </c>
      <c r="G167" t="s">
        <v>91</v>
      </c>
      <c r="H167" t="s">
        <v>26</v>
      </c>
      <c r="I167">
        <v>6696</v>
      </c>
      <c r="J167">
        <v>0.25</v>
      </c>
      <c r="K167">
        <v>1674</v>
      </c>
      <c r="L167" t="s">
        <v>27</v>
      </c>
      <c r="M167" t="s">
        <v>25</v>
      </c>
      <c r="N167" t="s">
        <v>34</v>
      </c>
    </row>
    <row r="168" spans="1:14" x14ac:dyDescent="0.3">
      <c r="A168" s="62">
        <v>45174</v>
      </c>
      <c r="B168" t="s">
        <v>74</v>
      </c>
      <c r="C168" t="s">
        <v>15</v>
      </c>
      <c r="D168" t="s">
        <v>50</v>
      </c>
      <c r="E168" t="s">
        <v>17</v>
      </c>
      <c r="F168" t="s">
        <v>41</v>
      </c>
      <c r="G168" t="s">
        <v>89</v>
      </c>
      <c r="H168" t="s">
        <v>33</v>
      </c>
      <c r="I168">
        <v>6406</v>
      </c>
      <c r="J168">
        <v>0.25</v>
      </c>
      <c r="K168">
        <v>1601.5</v>
      </c>
      <c r="L168" t="s">
        <v>20</v>
      </c>
      <c r="M168" t="s">
        <v>25</v>
      </c>
      <c r="N168" t="s">
        <v>22</v>
      </c>
    </row>
    <row r="169" spans="1:14" x14ac:dyDescent="0.3">
      <c r="A169" s="62">
        <v>45174</v>
      </c>
      <c r="B169" t="s">
        <v>74</v>
      </c>
      <c r="C169" t="s">
        <v>15</v>
      </c>
      <c r="D169" t="s">
        <v>54</v>
      </c>
      <c r="E169" t="s">
        <v>17</v>
      </c>
      <c r="F169" t="s">
        <v>25</v>
      </c>
      <c r="G169" t="s">
        <v>91</v>
      </c>
      <c r="H169" t="s">
        <v>42</v>
      </c>
      <c r="I169">
        <v>7205</v>
      </c>
      <c r="J169">
        <v>0.25</v>
      </c>
      <c r="K169">
        <v>1801.25</v>
      </c>
      <c r="L169" t="s">
        <v>27</v>
      </c>
      <c r="M169" t="s">
        <v>25</v>
      </c>
      <c r="N169" t="s">
        <v>34</v>
      </c>
    </row>
    <row r="170" spans="1:14" x14ac:dyDescent="0.3">
      <c r="A170" s="62">
        <v>45175</v>
      </c>
      <c r="B170" t="s">
        <v>74</v>
      </c>
      <c r="C170" t="s">
        <v>15</v>
      </c>
      <c r="D170" t="s">
        <v>52</v>
      </c>
      <c r="E170" t="s">
        <v>17</v>
      </c>
      <c r="F170" t="s">
        <v>39</v>
      </c>
      <c r="G170" t="s">
        <v>90</v>
      </c>
      <c r="H170" t="s">
        <v>42</v>
      </c>
      <c r="I170">
        <v>7727</v>
      </c>
      <c r="J170">
        <v>0.35</v>
      </c>
      <c r="K170">
        <v>2704.45</v>
      </c>
      <c r="L170" t="s">
        <v>20</v>
      </c>
      <c r="M170" t="s">
        <v>46</v>
      </c>
      <c r="N170" t="s">
        <v>34</v>
      </c>
    </row>
    <row r="171" spans="1:14" x14ac:dyDescent="0.3">
      <c r="A171" s="62">
        <v>45176</v>
      </c>
      <c r="B171" t="s">
        <v>74</v>
      </c>
      <c r="C171" t="s">
        <v>15</v>
      </c>
      <c r="D171" t="s">
        <v>68</v>
      </c>
      <c r="E171" t="s">
        <v>24</v>
      </c>
      <c r="F171" t="s">
        <v>18</v>
      </c>
      <c r="G171" t="s">
        <v>91</v>
      </c>
      <c r="H171" t="s">
        <v>42</v>
      </c>
      <c r="I171">
        <v>5416</v>
      </c>
      <c r="J171">
        <v>0.3</v>
      </c>
      <c r="K171">
        <v>1624.8</v>
      </c>
      <c r="L171" t="s">
        <v>20</v>
      </c>
      <c r="M171" t="s">
        <v>25</v>
      </c>
      <c r="N171" t="s">
        <v>22</v>
      </c>
    </row>
    <row r="172" spans="1:14" x14ac:dyDescent="0.3">
      <c r="A172" s="62">
        <v>45177</v>
      </c>
      <c r="B172" t="s">
        <v>74</v>
      </c>
      <c r="C172" t="s">
        <v>15</v>
      </c>
      <c r="D172" t="s">
        <v>49</v>
      </c>
      <c r="E172" t="s">
        <v>17</v>
      </c>
      <c r="F172" t="s">
        <v>25</v>
      </c>
      <c r="G172" t="s">
        <v>91</v>
      </c>
      <c r="H172" t="s">
        <v>33</v>
      </c>
      <c r="I172">
        <v>7738</v>
      </c>
      <c r="J172">
        <v>0.25</v>
      </c>
      <c r="K172">
        <v>1934.5</v>
      </c>
      <c r="L172" t="s">
        <v>20</v>
      </c>
      <c r="M172" t="s">
        <v>25</v>
      </c>
      <c r="N172" t="s">
        <v>34</v>
      </c>
    </row>
    <row r="173" spans="1:14" x14ac:dyDescent="0.3">
      <c r="A173" s="62">
        <v>45181</v>
      </c>
      <c r="B173" t="s">
        <v>74</v>
      </c>
      <c r="C173" t="s">
        <v>15</v>
      </c>
      <c r="D173" t="s">
        <v>35</v>
      </c>
      <c r="E173" t="s">
        <v>24</v>
      </c>
      <c r="F173" t="s">
        <v>39</v>
      </c>
      <c r="G173" t="s">
        <v>90</v>
      </c>
      <c r="H173" t="s">
        <v>29</v>
      </c>
      <c r="I173">
        <v>7487</v>
      </c>
      <c r="J173">
        <v>0.35</v>
      </c>
      <c r="K173">
        <v>2620.4499999999998</v>
      </c>
      <c r="L173" t="s">
        <v>20</v>
      </c>
      <c r="M173" t="s">
        <v>46</v>
      </c>
      <c r="N173" t="s">
        <v>22</v>
      </c>
    </row>
    <row r="174" spans="1:14" x14ac:dyDescent="0.3">
      <c r="A174" s="62">
        <v>45181</v>
      </c>
      <c r="B174" t="s">
        <v>74</v>
      </c>
      <c r="C174" t="s">
        <v>15</v>
      </c>
      <c r="D174" t="s">
        <v>57</v>
      </c>
      <c r="E174" t="s">
        <v>24</v>
      </c>
      <c r="F174" t="s">
        <v>18</v>
      </c>
      <c r="G174" t="s">
        <v>91</v>
      </c>
      <c r="H174" t="s">
        <v>29</v>
      </c>
      <c r="I174">
        <v>6985</v>
      </c>
      <c r="J174">
        <v>0.3</v>
      </c>
      <c r="K174">
        <v>2095.5</v>
      </c>
      <c r="L174" t="s">
        <v>27</v>
      </c>
      <c r="M174" t="s">
        <v>21</v>
      </c>
      <c r="N174" t="s">
        <v>34</v>
      </c>
    </row>
    <row r="175" spans="1:14" x14ac:dyDescent="0.3">
      <c r="A175" s="62">
        <v>45182</v>
      </c>
      <c r="B175" t="s">
        <v>74</v>
      </c>
      <c r="C175" t="s">
        <v>15</v>
      </c>
      <c r="D175" t="s">
        <v>68</v>
      </c>
      <c r="E175" t="s">
        <v>24</v>
      </c>
      <c r="F175" t="s">
        <v>41</v>
      </c>
      <c r="G175" t="s">
        <v>89</v>
      </c>
      <c r="H175" t="s">
        <v>33</v>
      </c>
      <c r="I175">
        <v>7326</v>
      </c>
      <c r="J175">
        <v>0.25</v>
      </c>
      <c r="K175">
        <v>1831.5</v>
      </c>
      <c r="L175" t="s">
        <v>27</v>
      </c>
      <c r="M175" t="s">
        <v>21</v>
      </c>
      <c r="N175" t="s">
        <v>37</v>
      </c>
    </row>
    <row r="176" spans="1:14" x14ac:dyDescent="0.3">
      <c r="A176" s="62">
        <v>45184</v>
      </c>
      <c r="B176" t="s">
        <v>74</v>
      </c>
      <c r="C176" t="s">
        <v>15</v>
      </c>
      <c r="D176" t="s">
        <v>56</v>
      </c>
      <c r="E176" t="s">
        <v>17</v>
      </c>
      <c r="F176" t="s">
        <v>41</v>
      </c>
      <c r="G176" t="s">
        <v>89</v>
      </c>
      <c r="H176" t="s">
        <v>33</v>
      </c>
      <c r="I176">
        <v>6465</v>
      </c>
      <c r="J176">
        <v>0.25</v>
      </c>
      <c r="K176">
        <v>1616.25</v>
      </c>
      <c r="L176" t="s">
        <v>20</v>
      </c>
      <c r="M176" t="s">
        <v>21</v>
      </c>
      <c r="N176" t="s">
        <v>34</v>
      </c>
    </row>
    <row r="177" spans="1:14" x14ac:dyDescent="0.3">
      <c r="A177" s="62">
        <v>45189</v>
      </c>
      <c r="B177" t="s">
        <v>74</v>
      </c>
      <c r="C177" t="s">
        <v>15</v>
      </c>
      <c r="D177" t="s">
        <v>16</v>
      </c>
      <c r="E177" t="s">
        <v>17</v>
      </c>
      <c r="F177" t="s">
        <v>25</v>
      </c>
      <c r="G177" t="s">
        <v>91</v>
      </c>
      <c r="H177" t="s">
        <v>19</v>
      </c>
      <c r="I177">
        <v>6603</v>
      </c>
      <c r="J177">
        <v>0.25</v>
      </c>
      <c r="K177">
        <v>1650.75</v>
      </c>
      <c r="L177" t="s">
        <v>27</v>
      </c>
      <c r="M177" t="s">
        <v>46</v>
      </c>
      <c r="N177" t="s">
        <v>30</v>
      </c>
    </row>
    <row r="178" spans="1:14" x14ac:dyDescent="0.3">
      <c r="A178" s="62">
        <v>45191</v>
      </c>
      <c r="B178" t="s">
        <v>74</v>
      </c>
      <c r="C178" t="s">
        <v>15</v>
      </c>
      <c r="D178" t="s">
        <v>36</v>
      </c>
      <c r="E178" t="s">
        <v>17</v>
      </c>
      <c r="F178" t="s">
        <v>39</v>
      </c>
      <c r="G178" t="s">
        <v>90</v>
      </c>
      <c r="H178" t="s">
        <v>26</v>
      </c>
      <c r="I178">
        <v>5676</v>
      </c>
      <c r="J178">
        <v>0.35</v>
      </c>
      <c r="K178">
        <v>1986.6</v>
      </c>
      <c r="L178" t="s">
        <v>27</v>
      </c>
      <c r="M178" t="s">
        <v>25</v>
      </c>
      <c r="N178" t="s">
        <v>22</v>
      </c>
    </row>
    <row r="179" spans="1:14" x14ac:dyDescent="0.3">
      <c r="A179" s="62">
        <v>45191</v>
      </c>
      <c r="B179" t="s">
        <v>74</v>
      </c>
      <c r="C179" t="s">
        <v>15</v>
      </c>
      <c r="D179" t="s">
        <v>43</v>
      </c>
      <c r="E179" t="s">
        <v>24</v>
      </c>
      <c r="F179" t="s">
        <v>25</v>
      </c>
      <c r="G179" t="s">
        <v>91</v>
      </c>
      <c r="H179" t="s">
        <v>29</v>
      </c>
      <c r="I179">
        <v>6258</v>
      </c>
      <c r="J179">
        <v>0.25</v>
      </c>
      <c r="K179">
        <v>1564.5</v>
      </c>
      <c r="L179" t="s">
        <v>27</v>
      </c>
      <c r="M179" t="s">
        <v>25</v>
      </c>
      <c r="N179" t="s">
        <v>37</v>
      </c>
    </row>
    <row r="180" spans="1:14" x14ac:dyDescent="0.3">
      <c r="A180" s="62">
        <v>45195</v>
      </c>
      <c r="B180" t="s">
        <v>74</v>
      </c>
      <c r="C180" t="s">
        <v>15</v>
      </c>
      <c r="D180" t="s">
        <v>45</v>
      </c>
      <c r="E180" t="s">
        <v>17</v>
      </c>
      <c r="F180" t="s">
        <v>41</v>
      </c>
      <c r="G180" t="s">
        <v>89</v>
      </c>
      <c r="H180" t="s">
        <v>33</v>
      </c>
      <c r="I180">
        <v>7890</v>
      </c>
      <c r="J180">
        <v>0.25</v>
      </c>
      <c r="K180">
        <v>1972.5</v>
      </c>
      <c r="L180" t="s">
        <v>20</v>
      </c>
      <c r="M180" t="s">
        <v>46</v>
      </c>
      <c r="N180" t="s">
        <v>37</v>
      </c>
    </row>
    <row r="181" spans="1:14" x14ac:dyDescent="0.3">
      <c r="A181" s="62">
        <v>45195</v>
      </c>
      <c r="B181" t="s">
        <v>74</v>
      </c>
      <c r="C181" t="s">
        <v>15</v>
      </c>
      <c r="D181" t="s">
        <v>63</v>
      </c>
      <c r="E181" t="s">
        <v>17</v>
      </c>
      <c r="F181" t="s">
        <v>25</v>
      </c>
      <c r="G181" t="s">
        <v>91</v>
      </c>
      <c r="H181" t="s">
        <v>26</v>
      </c>
      <c r="I181">
        <v>7460</v>
      </c>
      <c r="J181">
        <v>0.25</v>
      </c>
      <c r="K181">
        <v>1865</v>
      </c>
      <c r="L181" t="s">
        <v>27</v>
      </c>
      <c r="M181" t="s">
        <v>25</v>
      </c>
      <c r="N181" t="s">
        <v>34</v>
      </c>
    </row>
    <row r="182" spans="1:14" x14ac:dyDescent="0.3">
      <c r="A182" s="62">
        <v>45197</v>
      </c>
      <c r="B182" t="s">
        <v>74</v>
      </c>
      <c r="C182" t="s">
        <v>15</v>
      </c>
      <c r="D182" t="s">
        <v>44</v>
      </c>
      <c r="E182" t="s">
        <v>24</v>
      </c>
      <c r="F182" t="s">
        <v>25</v>
      </c>
      <c r="G182" t="s">
        <v>91</v>
      </c>
      <c r="H182" t="s">
        <v>26</v>
      </c>
      <c r="I182">
        <v>6782</v>
      </c>
      <c r="J182">
        <v>0.25</v>
      </c>
      <c r="K182">
        <v>1695.5</v>
      </c>
      <c r="L182" t="s">
        <v>20</v>
      </c>
      <c r="M182" t="s">
        <v>25</v>
      </c>
      <c r="N182" t="s">
        <v>22</v>
      </c>
    </row>
    <row r="183" spans="1:14" x14ac:dyDescent="0.3">
      <c r="A183" s="62">
        <v>45199</v>
      </c>
      <c r="B183" t="s">
        <v>74</v>
      </c>
      <c r="C183" t="s">
        <v>15</v>
      </c>
      <c r="D183" t="s">
        <v>52</v>
      </c>
      <c r="E183" t="s">
        <v>17</v>
      </c>
      <c r="F183" t="s">
        <v>25</v>
      </c>
      <c r="G183" t="s">
        <v>91</v>
      </c>
      <c r="H183" t="s">
        <v>42</v>
      </c>
      <c r="I183">
        <v>7220</v>
      </c>
      <c r="J183">
        <v>0.25</v>
      </c>
      <c r="K183">
        <v>1805</v>
      </c>
      <c r="L183" t="s">
        <v>20</v>
      </c>
      <c r="M183" t="s">
        <v>46</v>
      </c>
      <c r="N183" t="s">
        <v>37</v>
      </c>
    </row>
    <row r="184" spans="1:14" x14ac:dyDescent="0.3">
      <c r="A184" s="62">
        <v>45200</v>
      </c>
      <c r="B184" t="s">
        <v>75</v>
      </c>
      <c r="C184" t="s">
        <v>15</v>
      </c>
      <c r="D184" t="s">
        <v>49</v>
      </c>
      <c r="E184" t="s">
        <v>17</v>
      </c>
      <c r="F184" t="s">
        <v>25</v>
      </c>
      <c r="G184" t="s">
        <v>91</v>
      </c>
      <c r="H184" t="s">
        <v>29</v>
      </c>
      <c r="I184">
        <v>6768</v>
      </c>
      <c r="J184">
        <v>0.25</v>
      </c>
      <c r="K184">
        <v>1692</v>
      </c>
      <c r="L184" t="s">
        <v>20</v>
      </c>
      <c r="M184" t="s">
        <v>46</v>
      </c>
      <c r="N184" t="s">
        <v>37</v>
      </c>
    </row>
    <row r="185" spans="1:14" x14ac:dyDescent="0.3">
      <c r="A185" s="62">
        <v>45201</v>
      </c>
      <c r="B185" t="s">
        <v>75</v>
      </c>
      <c r="C185" t="s">
        <v>15</v>
      </c>
      <c r="D185" t="s">
        <v>16</v>
      </c>
      <c r="E185" t="s">
        <v>17</v>
      </c>
      <c r="F185" t="s">
        <v>41</v>
      </c>
      <c r="G185" t="s">
        <v>89</v>
      </c>
      <c r="H185" t="s">
        <v>33</v>
      </c>
      <c r="I185">
        <v>6336</v>
      </c>
      <c r="J185">
        <v>0.25</v>
      </c>
      <c r="K185">
        <v>1584</v>
      </c>
      <c r="L185" t="s">
        <v>27</v>
      </c>
      <c r="M185" t="s">
        <v>25</v>
      </c>
      <c r="N185" t="s">
        <v>34</v>
      </c>
    </row>
    <row r="186" spans="1:14" x14ac:dyDescent="0.3">
      <c r="A186" s="62">
        <v>45203</v>
      </c>
      <c r="B186" t="s">
        <v>75</v>
      </c>
      <c r="C186" t="s">
        <v>15</v>
      </c>
      <c r="D186" t="s">
        <v>57</v>
      </c>
      <c r="E186" t="s">
        <v>24</v>
      </c>
      <c r="F186" t="s">
        <v>25</v>
      </c>
      <c r="G186" t="s">
        <v>91</v>
      </c>
      <c r="H186" t="s">
        <v>29</v>
      </c>
      <c r="I186">
        <v>6188</v>
      </c>
      <c r="J186">
        <v>0.25</v>
      </c>
      <c r="K186">
        <v>1547</v>
      </c>
      <c r="L186" t="s">
        <v>20</v>
      </c>
      <c r="M186" t="s">
        <v>46</v>
      </c>
      <c r="N186" t="s">
        <v>37</v>
      </c>
    </row>
    <row r="187" spans="1:14" x14ac:dyDescent="0.3">
      <c r="A187" s="62">
        <v>45204</v>
      </c>
      <c r="B187" t="s">
        <v>75</v>
      </c>
      <c r="C187" t="s">
        <v>15</v>
      </c>
      <c r="D187" t="s">
        <v>62</v>
      </c>
      <c r="E187" t="s">
        <v>24</v>
      </c>
      <c r="F187" t="s">
        <v>39</v>
      </c>
      <c r="G187" t="s">
        <v>90</v>
      </c>
      <c r="H187" t="s">
        <v>33</v>
      </c>
      <c r="I187">
        <v>5157</v>
      </c>
      <c r="J187">
        <v>0.35</v>
      </c>
      <c r="K187">
        <v>1804.9499999999998</v>
      </c>
      <c r="L187" t="s">
        <v>27</v>
      </c>
      <c r="M187" t="s">
        <v>21</v>
      </c>
      <c r="N187" t="s">
        <v>37</v>
      </c>
    </row>
    <row r="188" spans="1:14" x14ac:dyDescent="0.3">
      <c r="A188" s="62">
        <v>45205</v>
      </c>
      <c r="B188" t="s">
        <v>75</v>
      </c>
      <c r="C188" t="s">
        <v>15</v>
      </c>
      <c r="D188" t="s">
        <v>47</v>
      </c>
      <c r="E188" t="s">
        <v>24</v>
      </c>
      <c r="F188" t="s">
        <v>41</v>
      </c>
      <c r="G188" t="s">
        <v>89</v>
      </c>
      <c r="H188" t="s">
        <v>19</v>
      </c>
      <c r="I188">
        <v>6650</v>
      </c>
      <c r="J188">
        <v>0.25</v>
      </c>
      <c r="K188">
        <v>1662.5</v>
      </c>
      <c r="L188" t="s">
        <v>20</v>
      </c>
      <c r="M188" t="s">
        <v>21</v>
      </c>
      <c r="N188" t="s">
        <v>34</v>
      </c>
    </row>
    <row r="189" spans="1:14" x14ac:dyDescent="0.3">
      <c r="A189" s="62">
        <v>45207</v>
      </c>
      <c r="B189" t="s">
        <v>75</v>
      </c>
      <c r="C189" t="s">
        <v>15</v>
      </c>
      <c r="D189" t="s">
        <v>40</v>
      </c>
      <c r="E189" t="s">
        <v>17</v>
      </c>
      <c r="F189" t="s">
        <v>41</v>
      </c>
      <c r="G189" t="s">
        <v>89</v>
      </c>
      <c r="H189" t="s">
        <v>42</v>
      </c>
      <c r="I189">
        <v>5451</v>
      </c>
      <c r="J189">
        <v>0.25</v>
      </c>
      <c r="K189">
        <v>1362.75</v>
      </c>
      <c r="L189" t="s">
        <v>20</v>
      </c>
      <c r="M189" t="s">
        <v>46</v>
      </c>
      <c r="N189" t="s">
        <v>22</v>
      </c>
    </row>
    <row r="190" spans="1:14" x14ac:dyDescent="0.3">
      <c r="A190" s="62">
        <v>45209</v>
      </c>
      <c r="B190" t="s">
        <v>75</v>
      </c>
      <c r="C190" t="s">
        <v>15</v>
      </c>
      <c r="D190" t="s">
        <v>66</v>
      </c>
      <c r="E190" t="s">
        <v>24</v>
      </c>
      <c r="F190" t="s">
        <v>41</v>
      </c>
      <c r="G190" t="s">
        <v>89</v>
      </c>
      <c r="H190" t="s">
        <v>29</v>
      </c>
      <c r="I190">
        <v>7652</v>
      </c>
      <c r="J190">
        <v>0.25</v>
      </c>
      <c r="K190">
        <v>1913</v>
      </c>
      <c r="L190" t="s">
        <v>27</v>
      </c>
      <c r="M190" t="s">
        <v>46</v>
      </c>
      <c r="N190" t="s">
        <v>22</v>
      </c>
    </row>
    <row r="191" spans="1:14" x14ac:dyDescent="0.3">
      <c r="A191" s="62">
        <v>45210</v>
      </c>
      <c r="B191" t="s">
        <v>75</v>
      </c>
      <c r="C191" t="s">
        <v>15</v>
      </c>
      <c r="D191" t="s">
        <v>66</v>
      </c>
      <c r="E191" t="s">
        <v>24</v>
      </c>
      <c r="F191" t="s">
        <v>32</v>
      </c>
      <c r="G191" t="s">
        <v>90</v>
      </c>
      <c r="H191" t="s">
        <v>26</v>
      </c>
      <c r="I191">
        <v>6212</v>
      </c>
      <c r="J191">
        <v>0.4</v>
      </c>
      <c r="K191">
        <v>2484.8000000000002</v>
      </c>
      <c r="L191" t="s">
        <v>20</v>
      </c>
      <c r="M191" t="s">
        <v>21</v>
      </c>
      <c r="N191" t="s">
        <v>30</v>
      </c>
    </row>
    <row r="192" spans="1:14" x14ac:dyDescent="0.3">
      <c r="A192" s="62">
        <v>45211</v>
      </c>
      <c r="B192" t="s">
        <v>75</v>
      </c>
      <c r="C192" t="s">
        <v>15</v>
      </c>
      <c r="D192" t="s">
        <v>63</v>
      </c>
      <c r="E192" t="s">
        <v>17</v>
      </c>
      <c r="F192" t="s">
        <v>18</v>
      </c>
      <c r="G192" t="s">
        <v>91</v>
      </c>
      <c r="H192" t="s">
        <v>33</v>
      </c>
      <c r="I192">
        <v>6510</v>
      </c>
      <c r="J192">
        <v>0.3</v>
      </c>
      <c r="K192">
        <v>1953</v>
      </c>
      <c r="L192" t="s">
        <v>27</v>
      </c>
      <c r="M192" t="s">
        <v>21</v>
      </c>
      <c r="N192" t="s">
        <v>30</v>
      </c>
    </row>
    <row r="193" spans="1:14" x14ac:dyDescent="0.3">
      <c r="A193" s="62">
        <v>45212</v>
      </c>
      <c r="B193" t="s">
        <v>75</v>
      </c>
      <c r="C193" t="s">
        <v>15</v>
      </c>
      <c r="D193" t="s">
        <v>31</v>
      </c>
      <c r="E193" t="s">
        <v>24</v>
      </c>
      <c r="F193" t="s">
        <v>41</v>
      </c>
      <c r="G193" t="s">
        <v>89</v>
      </c>
      <c r="H193" t="s">
        <v>19</v>
      </c>
      <c r="I193">
        <v>6658</v>
      </c>
      <c r="J193">
        <v>0.25</v>
      </c>
      <c r="K193">
        <v>1664.5</v>
      </c>
      <c r="L193" t="s">
        <v>20</v>
      </c>
      <c r="M193" t="s">
        <v>46</v>
      </c>
      <c r="N193" t="s">
        <v>34</v>
      </c>
    </row>
    <row r="194" spans="1:14" x14ac:dyDescent="0.3">
      <c r="A194" s="62">
        <v>45215</v>
      </c>
      <c r="B194" t="s">
        <v>75</v>
      </c>
      <c r="C194" t="s">
        <v>15</v>
      </c>
      <c r="D194" t="s">
        <v>66</v>
      </c>
      <c r="E194" t="s">
        <v>24</v>
      </c>
      <c r="F194" t="s">
        <v>25</v>
      </c>
      <c r="G194" t="s">
        <v>91</v>
      </c>
      <c r="H194" t="s">
        <v>26</v>
      </c>
      <c r="I194">
        <v>5881</v>
      </c>
      <c r="J194">
        <v>0.25</v>
      </c>
      <c r="K194">
        <v>1470.25</v>
      </c>
      <c r="L194" t="s">
        <v>27</v>
      </c>
      <c r="M194" t="s">
        <v>25</v>
      </c>
      <c r="N194" t="s">
        <v>22</v>
      </c>
    </row>
    <row r="195" spans="1:14" x14ac:dyDescent="0.3">
      <c r="A195" s="62">
        <v>45220</v>
      </c>
      <c r="B195" t="s">
        <v>75</v>
      </c>
      <c r="C195" t="s">
        <v>15</v>
      </c>
      <c r="D195" t="s">
        <v>63</v>
      </c>
      <c r="E195" t="s">
        <v>17</v>
      </c>
      <c r="F195" t="s">
        <v>25</v>
      </c>
      <c r="G195" t="s">
        <v>91</v>
      </c>
      <c r="H195" t="s">
        <v>29</v>
      </c>
      <c r="I195">
        <v>5401</v>
      </c>
      <c r="J195">
        <v>0.25</v>
      </c>
      <c r="K195">
        <v>1350.25</v>
      </c>
      <c r="L195" t="s">
        <v>27</v>
      </c>
      <c r="M195" t="s">
        <v>25</v>
      </c>
      <c r="N195" t="s">
        <v>34</v>
      </c>
    </row>
    <row r="196" spans="1:14" x14ac:dyDescent="0.3">
      <c r="A196" s="62">
        <v>45220</v>
      </c>
      <c r="B196" t="s">
        <v>75</v>
      </c>
      <c r="C196" t="s">
        <v>15</v>
      </c>
      <c r="D196" t="s">
        <v>48</v>
      </c>
      <c r="E196" t="s">
        <v>17</v>
      </c>
      <c r="F196" t="s">
        <v>32</v>
      </c>
      <c r="G196" t="s">
        <v>90</v>
      </c>
      <c r="H196" t="s">
        <v>19</v>
      </c>
      <c r="I196">
        <v>5510</v>
      </c>
      <c r="J196">
        <v>0.4</v>
      </c>
      <c r="K196">
        <v>2204</v>
      </c>
      <c r="L196" t="s">
        <v>27</v>
      </c>
      <c r="M196" t="s">
        <v>21</v>
      </c>
      <c r="N196" t="s">
        <v>22</v>
      </c>
    </row>
    <row r="197" spans="1:14" x14ac:dyDescent="0.3">
      <c r="A197" s="62">
        <v>45221</v>
      </c>
      <c r="B197" t="s">
        <v>75</v>
      </c>
      <c r="C197" t="s">
        <v>15</v>
      </c>
      <c r="D197" t="s">
        <v>73</v>
      </c>
      <c r="E197" t="s">
        <v>24</v>
      </c>
      <c r="F197" t="s">
        <v>18</v>
      </c>
      <c r="G197" t="s">
        <v>91</v>
      </c>
      <c r="H197" t="s">
        <v>19</v>
      </c>
      <c r="I197">
        <v>5127</v>
      </c>
      <c r="J197">
        <v>0.3</v>
      </c>
      <c r="K197">
        <v>1538.1</v>
      </c>
      <c r="L197" t="s">
        <v>20</v>
      </c>
      <c r="M197" t="s">
        <v>21</v>
      </c>
      <c r="N197" t="s">
        <v>22</v>
      </c>
    </row>
    <row r="198" spans="1:14" x14ac:dyDescent="0.3">
      <c r="A198" s="62">
        <v>45224</v>
      </c>
      <c r="B198" t="s">
        <v>75</v>
      </c>
      <c r="C198" t="s">
        <v>15</v>
      </c>
      <c r="D198" t="s">
        <v>48</v>
      </c>
      <c r="E198" t="s">
        <v>17</v>
      </c>
      <c r="F198" t="s">
        <v>18</v>
      </c>
      <c r="G198" t="s">
        <v>91</v>
      </c>
      <c r="H198" t="s">
        <v>29</v>
      </c>
      <c r="I198">
        <v>6832</v>
      </c>
      <c r="J198">
        <v>0.3</v>
      </c>
      <c r="K198">
        <v>2049.6</v>
      </c>
      <c r="L198" t="s">
        <v>27</v>
      </c>
      <c r="M198" t="s">
        <v>25</v>
      </c>
      <c r="N198" t="s">
        <v>37</v>
      </c>
    </row>
    <row r="199" spans="1:14" x14ac:dyDescent="0.3">
      <c r="A199" s="62">
        <v>45226</v>
      </c>
      <c r="B199" t="s">
        <v>75</v>
      </c>
      <c r="C199" t="s">
        <v>15</v>
      </c>
      <c r="D199" t="s">
        <v>45</v>
      </c>
      <c r="E199" t="s">
        <v>17</v>
      </c>
      <c r="F199" t="s">
        <v>18</v>
      </c>
      <c r="G199" t="s">
        <v>91</v>
      </c>
      <c r="H199" t="s">
        <v>29</v>
      </c>
      <c r="I199">
        <v>7570</v>
      </c>
      <c r="J199">
        <v>0.3</v>
      </c>
      <c r="K199">
        <v>2271</v>
      </c>
      <c r="L199" t="s">
        <v>20</v>
      </c>
      <c r="M199" t="s">
        <v>21</v>
      </c>
      <c r="N199" t="s">
        <v>34</v>
      </c>
    </row>
    <row r="200" spans="1:14" x14ac:dyDescent="0.3">
      <c r="A200" s="62">
        <v>45227</v>
      </c>
      <c r="B200" t="s">
        <v>75</v>
      </c>
      <c r="C200" t="s">
        <v>15</v>
      </c>
      <c r="D200" t="s">
        <v>56</v>
      </c>
      <c r="E200" t="s">
        <v>17</v>
      </c>
      <c r="F200" t="s">
        <v>18</v>
      </c>
      <c r="G200" t="s">
        <v>91</v>
      </c>
      <c r="H200" t="s">
        <v>29</v>
      </c>
      <c r="I200">
        <v>5494</v>
      </c>
      <c r="J200">
        <v>0.3</v>
      </c>
      <c r="K200">
        <v>1648.2</v>
      </c>
      <c r="L200" t="s">
        <v>20</v>
      </c>
      <c r="M200" t="s">
        <v>21</v>
      </c>
      <c r="N200" t="s">
        <v>30</v>
      </c>
    </row>
    <row r="201" spans="1:14" x14ac:dyDescent="0.3">
      <c r="A201" s="62">
        <v>45228</v>
      </c>
      <c r="B201" t="s">
        <v>75</v>
      </c>
      <c r="C201" t="s">
        <v>15</v>
      </c>
      <c r="D201" t="s">
        <v>66</v>
      </c>
      <c r="E201" t="s">
        <v>24</v>
      </c>
      <c r="F201" t="s">
        <v>39</v>
      </c>
      <c r="G201" t="s">
        <v>90</v>
      </c>
      <c r="H201" t="s">
        <v>33</v>
      </c>
      <c r="I201">
        <v>6452</v>
      </c>
      <c r="J201">
        <v>0.35</v>
      </c>
      <c r="K201">
        <v>2258.1999999999998</v>
      </c>
      <c r="L201" t="s">
        <v>20</v>
      </c>
      <c r="M201" t="s">
        <v>25</v>
      </c>
      <c r="N201" t="s">
        <v>30</v>
      </c>
    </row>
    <row r="202" spans="1:14" x14ac:dyDescent="0.3">
      <c r="A202" s="62">
        <v>45230</v>
      </c>
      <c r="B202" t="s">
        <v>75</v>
      </c>
      <c r="C202" t="s">
        <v>15</v>
      </c>
      <c r="D202" t="s">
        <v>40</v>
      </c>
      <c r="E202" t="s">
        <v>17</v>
      </c>
      <c r="F202" t="s">
        <v>18</v>
      </c>
      <c r="G202" t="s">
        <v>91</v>
      </c>
      <c r="H202" t="s">
        <v>33</v>
      </c>
      <c r="I202">
        <v>5529</v>
      </c>
      <c r="J202">
        <v>0.3</v>
      </c>
      <c r="K202">
        <v>1658.7</v>
      </c>
      <c r="L202" t="s">
        <v>27</v>
      </c>
      <c r="M202" t="s">
        <v>46</v>
      </c>
      <c r="N202" t="s">
        <v>34</v>
      </c>
    </row>
    <row r="203" spans="1:14" x14ac:dyDescent="0.3">
      <c r="A203" s="62">
        <v>45230</v>
      </c>
      <c r="B203" t="s">
        <v>75</v>
      </c>
      <c r="C203" t="s">
        <v>15</v>
      </c>
      <c r="D203" t="s">
        <v>35</v>
      </c>
      <c r="E203" t="s">
        <v>24</v>
      </c>
      <c r="F203" t="s">
        <v>41</v>
      </c>
      <c r="G203" t="s">
        <v>89</v>
      </c>
      <c r="H203" t="s">
        <v>29</v>
      </c>
      <c r="I203">
        <v>6344</v>
      </c>
      <c r="J203">
        <v>0.25</v>
      </c>
      <c r="K203">
        <v>1586</v>
      </c>
      <c r="L203" t="s">
        <v>20</v>
      </c>
      <c r="M203" t="s">
        <v>25</v>
      </c>
      <c r="N203" t="s">
        <v>30</v>
      </c>
    </row>
    <row r="204" spans="1:14" x14ac:dyDescent="0.3">
      <c r="A204" s="62">
        <v>45232</v>
      </c>
      <c r="B204" t="s">
        <v>76</v>
      </c>
      <c r="C204" t="s">
        <v>15</v>
      </c>
      <c r="D204" t="s">
        <v>63</v>
      </c>
      <c r="E204" t="s">
        <v>17</v>
      </c>
      <c r="F204" t="s">
        <v>32</v>
      </c>
      <c r="G204" t="s">
        <v>90</v>
      </c>
      <c r="H204" t="s">
        <v>33</v>
      </c>
      <c r="I204">
        <v>5826</v>
      </c>
      <c r="J204">
        <v>0.4</v>
      </c>
      <c r="K204">
        <v>2330.4</v>
      </c>
      <c r="L204" t="s">
        <v>20</v>
      </c>
      <c r="M204" t="s">
        <v>21</v>
      </c>
      <c r="N204" t="s">
        <v>22</v>
      </c>
    </row>
    <row r="205" spans="1:14" x14ac:dyDescent="0.3">
      <c r="A205" s="62">
        <v>45234</v>
      </c>
      <c r="B205" t="s">
        <v>76</v>
      </c>
      <c r="C205" t="s">
        <v>15</v>
      </c>
      <c r="D205" t="s">
        <v>54</v>
      </c>
      <c r="E205" t="s">
        <v>17</v>
      </c>
      <c r="F205" t="s">
        <v>32</v>
      </c>
      <c r="G205" t="s">
        <v>90</v>
      </c>
      <c r="H205" t="s">
        <v>42</v>
      </c>
      <c r="I205">
        <v>5965</v>
      </c>
      <c r="J205">
        <v>0.4</v>
      </c>
      <c r="K205">
        <v>2386</v>
      </c>
      <c r="L205" t="s">
        <v>20</v>
      </c>
      <c r="M205" t="s">
        <v>46</v>
      </c>
      <c r="N205" t="s">
        <v>22</v>
      </c>
    </row>
    <row r="206" spans="1:14" x14ac:dyDescent="0.3">
      <c r="A206" s="62">
        <v>45234</v>
      </c>
      <c r="B206" t="s">
        <v>76</v>
      </c>
      <c r="C206" t="s">
        <v>15</v>
      </c>
      <c r="D206" t="s">
        <v>63</v>
      </c>
      <c r="E206" t="s">
        <v>17</v>
      </c>
      <c r="F206" t="s">
        <v>39</v>
      </c>
      <c r="G206" t="s">
        <v>90</v>
      </c>
      <c r="H206" t="s">
        <v>33</v>
      </c>
      <c r="I206">
        <v>7621</v>
      </c>
      <c r="J206">
        <v>0.35</v>
      </c>
      <c r="K206">
        <v>2667.35</v>
      </c>
      <c r="L206" t="s">
        <v>20</v>
      </c>
      <c r="M206" t="s">
        <v>46</v>
      </c>
      <c r="N206" t="s">
        <v>30</v>
      </c>
    </row>
    <row r="207" spans="1:14" x14ac:dyDescent="0.3">
      <c r="A207" s="62">
        <v>45237</v>
      </c>
      <c r="B207" t="s">
        <v>76</v>
      </c>
      <c r="C207" t="s">
        <v>15</v>
      </c>
      <c r="D207" t="s">
        <v>56</v>
      </c>
      <c r="E207" t="s">
        <v>17</v>
      </c>
      <c r="F207" t="s">
        <v>25</v>
      </c>
      <c r="G207" t="s">
        <v>91</v>
      </c>
      <c r="H207" t="s">
        <v>33</v>
      </c>
      <c r="I207">
        <v>6591</v>
      </c>
      <c r="J207">
        <v>0.25</v>
      </c>
      <c r="K207">
        <v>1647.75</v>
      </c>
      <c r="L207" t="s">
        <v>27</v>
      </c>
      <c r="M207" t="s">
        <v>46</v>
      </c>
      <c r="N207" t="s">
        <v>30</v>
      </c>
    </row>
    <row r="208" spans="1:14" x14ac:dyDescent="0.3">
      <c r="A208" s="62">
        <v>45237</v>
      </c>
      <c r="B208" t="s">
        <v>76</v>
      </c>
      <c r="C208" t="s">
        <v>15</v>
      </c>
      <c r="D208" t="s">
        <v>57</v>
      </c>
      <c r="E208" t="s">
        <v>24</v>
      </c>
      <c r="F208" t="s">
        <v>39</v>
      </c>
      <c r="G208" t="s">
        <v>90</v>
      </c>
      <c r="H208" t="s">
        <v>26</v>
      </c>
      <c r="I208">
        <v>5713</v>
      </c>
      <c r="J208">
        <v>0.35</v>
      </c>
      <c r="K208">
        <v>1999.55</v>
      </c>
      <c r="L208" t="s">
        <v>20</v>
      </c>
      <c r="M208" t="s">
        <v>21</v>
      </c>
      <c r="N208" t="s">
        <v>37</v>
      </c>
    </row>
    <row r="209" spans="1:14" x14ac:dyDescent="0.3">
      <c r="A209" s="62">
        <v>45239</v>
      </c>
      <c r="B209" t="s">
        <v>76</v>
      </c>
      <c r="C209" t="s">
        <v>15</v>
      </c>
      <c r="D209" t="s">
        <v>36</v>
      </c>
      <c r="E209" t="s">
        <v>17</v>
      </c>
      <c r="F209" t="s">
        <v>41</v>
      </c>
      <c r="G209" t="s">
        <v>89</v>
      </c>
      <c r="H209" t="s">
        <v>29</v>
      </c>
      <c r="I209">
        <v>7690</v>
      </c>
      <c r="J209">
        <v>0.25</v>
      </c>
      <c r="K209">
        <v>1922.5</v>
      </c>
      <c r="L209" t="s">
        <v>20</v>
      </c>
      <c r="M209" t="s">
        <v>46</v>
      </c>
      <c r="N209" t="s">
        <v>37</v>
      </c>
    </row>
    <row r="210" spans="1:14" x14ac:dyDescent="0.3">
      <c r="A210" s="62">
        <v>45241</v>
      </c>
      <c r="B210" t="s">
        <v>76</v>
      </c>
      <c r="C210" t="s">
        <v>15</v>
      </c>
      <c r="D210" t="s">
        <v>58</v>
      </c>
      <c r="E210" t="s">
        <v>24</v>
      </c>
      <c r="F210" t="s">
        <v>18</v>
      </c>
      <c r="G210" t="s">
        <v>91</v>
      </c>
      <c r="H210" t="s">
        <v>42</v>
      </c>
      <c r="I210">
        <v>6501</v>
      </c>
      <c r="J210">
        <v>0.3</v>
      </c>
      <c r="K210">
        <v>1950.3</v>
      </c>
      <c r="L210" t="s">
        <v>20</v>
      </c>
      <c r="M210" t="s">
        <v>25</v>
      </c>
      <c r="N210" t="s">
        <v>37</v>
      </c>
    </row>
    <row r="211" spans="1:14" x14ac:dyDescent="0.3">
      <c r="A211" s="62">
        <v>45243</v>
      </c>
      <c r="B211" t="s">
        <v>76</v>
      </c>
      <c r="C211" t="s">
        <v>15</v>
      </c>
      <c r="D211" t="s">
        <v>55</v>
      </c>
      <c r="E211" t="s">
        <v>24</v>
      </c>
      <c r="F211" t="s">
        <v>32</v>
      </c>
      <c r="G211" t="s">
        <v>90</v>
      </c>
      <c r="H211" t="s">
        <v>33</v>
      </c>
      <c r="I211">
        <v>7420</v>
      </c>
      <c r="J211">
        <v>0.4</v>
      </c>
      <c r="K211">
        <v>2968</v>
      </c>
      <c r="L211" t="s">
        <v>20</v>
      </c>
      <c r="M211" t="s">
        <v>21</v>
      </c>
      <c r="N211" t="s">
        <v>30</v>
      </c>
    </row>
    <row r="212" spans="1:14" x14ac:dyDescent="0.3">
      <c r="A212" s="62">
        <v>45243</v>
      </c>
      <c r="B212" t="s">
        <v>76</v>
      </c>
      <c r="C212" t="s">
        <v>15</v>
      </c>
      <c r="D212" t="s">
        <v>38</v>
      </c>
      <c r="E212" t="s">
        <v>24</v>
      </c>
      <c r="F212" t="s">
        <v>32</v>
      </c>
      <c r="G212" t="s">
        <v>90</v>
      </c>
      <c r="H212" t="s">
        <v>29</v>
      </c>
      <c r="I212">
        <v>7019</v>
      </c>
      <c r="J212">
        <v>0.4</v>
      </c>
      <c r="K212">
        <v>2807.6000000000004</v>
      </c>
      <c r="L212" t="s">
        <v>20</v>
      </c>
      <c r="M212" t="s">
        <v>46</v>
      </c>
      <c r="N212" t="s">
        <v>22</v>
      </c>
    </row>
    <row r="213" spans="1:14" x14ac:dyDescent="0.3">
      <c r="A213" s="62">
        <v>45244</v>
      </c>
      <c r="B213" t="s">
        <v>76</v>
      </c>
      <c r="C213" t="s">
        <v>15</v>
      </c>
      <c r="D213" t="s">
        <v>51</v>
      </c>
      <c r="E213" t="s">
        <v>24</v>
      </c>
      <c r="F213" t="s">
        <v>41</v>
      </c>
      <c r="G213" t="s">
        <v>89</v>
      </c>
      <c r="H213" t="s">
        <v>29</v>
      </c>
      <c r="I213">
        <v>5842</v>
      </c>
      <c r="J213">
        <v>0.25</v>
      </c>
      <c r="K213">
        <v>1460.5</v>
      </c>
      <c r="L213" t="s">
        <v>20</v>
      </c>
      <c r="M213" t="s">
        <v>25</v>
      </c>
      <c r="N213" t="s">
        <v>34</v>
      </c>
    </row>
    <row r="214" spans="1:14" x14ac:dyDescent="0.3">
      <c r="A214" s="62">
        <v>45245</v>
      </c>
      <c r="B214" t="s">
        <v>76</v>
      </c>
      <c r="C214" t="s">
        <v>15</v>
      </c>
      <c r="D214" t="s">
        <v>43</v>
      </c>
      <c r="E214" t="s">
        <v>24</v>
      </c>
      <c r="F214" t="s">
        <v>41</v>
      </c>
      <c r="G214" t="s">
        <v>89</v>
      </c>
      <c r="H214" t="s">
        <v>29</v>
      </c>
      <c r="I214">
        <v>5206</v>
      </c>
      <c r="J214">
        <v>0.25</v>
      </c>
      <c r="K214">
        <v>1301.5</v>
      </c>
      <c r="L214" t="s">
        <v>20</v>
      </c>
      <c r="M214" t="s">
        <v>25</v>
      </c>
      <c r="N214" t="s">
        <v>30</v>
      </c>
    </row>
    <row r="215" spans="1:14" x14ac:dyDescent="0.3">
      <c r="A215" s="62">
        <v>45246</v>
      </c>
      <c r="B215" t="s">
        <v>76</v>
      </c>
      <c r="C215" t="s">
        <v>15</v>
      </c>
      <c r="D215" t="s">
        <v>45</v>
      </c>
      <c r="E215" t="s">
        <v>17</v>
      </c>
      <c r="F215" t="s">
        <v>39</v>
      </c>
      <c r="G215" t="s">
        <v>90</v>
      </c>
      <c r="H215" t="s">
        <v>29</v>
      </c>
      <c r="I215">
        <v>5668</v>
      </c>
      <c r="J215">
        <v>0.35</v>
      </c>
      <c r="K215">
        <v>1983.8</v>
      </c>
      <c r="L215" t="s">
        <v>27</v>
      </c>
      <c r="M215" t="s">
        <v>46</v>
      </c>
      <c r="N215" t="s">
        <v>22</v>
      </c>
    </row>
    <row r="216" spans="1:14" x14ac:dyDescent="0.3">
      <c r="A216" s="62">
        <v>45251</v>
      </c>
      <c r="B216" t="s">
        <v>76</v>
      </c>
      <c r="C216" t="s">
        <v>15</v>
      </c>
      <c r="D216" t="s">
        <v>52</v>
      </c>
      <c r="E216" t="s">
        <v>17</v>
      </c>
      <c r="F216" t="s">
        <v>39</v>
      </c>
      <c r="G216" t="s">
        <v>90</v>
      </c>
      <c r="H216" t="s">
        <v>29</v>
      </c>
      <c r="I216">
        <v>6568</v>
      </c>
      <c r="J216">
        <v>0.35</v>
      </c>
      <c r="K216">
        <v>2298.7999999999997</v>
      </c>
      <c r="L216" t="s">
        <v>20</v>
      </c>
      <c r="M216" t="s">
        <v>46</v>
      </c>
      <c r="N216" t="s">
        <v>30</v>
      </c>
    </row>
    <row r="217" spans="1:14" x14ac:dyDescent="0.3">
      <c r="A217" s="62">
        <v>45251</v>
      </c>
      <c r="B217" t="s">
        <v>76</v>
      </c>
      <c r="C217" t="s">
        <v>15</v>
      </c>
      <c r="D217" t="s">
        <v>44</v>
      </c>
      <c r="E217" t="s">
        <v>24</v>
      </c>
      <c r="F217" t="s">
        <v>25</v>
      </c>
      <c r="G217" t="s">
        <v>91</v>
      </c>
      <c r="H217" t="s">
        <v>33</v>
      </c>
      <c r="I217">
        <v>6041</v>
      </c>
      <c r="J217">
        <v>0.25</v>
      </c>
      <c r="K217">
        <v>1510.25</v>
      </c>
      <c r="L217" t="s">
        <v>27</v>
      </c>
      <c r="M217" t="s">
        <v>25</v>
      </c>
      <c r="N217" t="s">
        <v>34</v>
      </c>
    </row>
    <row r="218" spans="1:14" x14ac:dyDescent="0.3">
      <c r="A218" s="62">
        <v>45254</v>
      </c>
      <c r="B218" t="s">
        <v>76</v>
      </c>
      <c r="C218" t="s">
        <v>15</v>
      </c>
      <c r="D218" t="s">
        <v>44</v>
      </c>
      <c r="E218" t="s">
        <v>24</v>
      </c>
      <c r="F218" t="s">
        <v>18</v>
      </c>
      <c r="G218" t="s">
        <v>91</v>
      </c>
      <c r="H218" t="s">
        <v>33</v>
      </c>
      <c r="I218">
        <v>5552</v>
      </c>
      <c r="J218">
        <v>0.3</v>
      </c>
      <c r="K218">
        <v>1665.6</v>
      </c>
      <c r="L218" t="s">
        <v>20</v>
      </c>
      <c r="M218" t="s">
        <v>46</v>
      </c>
      <c r="N218" t="s">
        <v>30</v>
      </c>
    </row>
    <row r="219" spans="1:14" x14ac:dyDescent="0.3">
      <c r="A219" s="62">
        <v>45255</v>
      </c>
      <c r="B219" t="s">
        <v>76</v>
      </c>
      <c r="C219" t="s">
        <v>15</v>
      </c>
      <c r="D219" t="s">
        <v>50</v>
      </c>
      <c r="E219" t="s">
        <v>17</v>
      </c>
      <c r="F219" t="s">
        <v>25</v>
      </c>
      <c r="G219" t="s">
        <v>91</v>
      </c>
      <c r="H219" t="s">
        <v>42</v>
      </c>
      <c r="I219">
        <v>5794</v>
      </c>
      <c r="J219">
        <v>0.25</v>
      </c>
      <c r="K219">
        <v>1448.5</v>
      </c>
      <c r="L219" t="s">
        <v>20</v>
      </c>
      <c r="M219" t="s">
        <v>25</v>
      </c>
      <c r="N219" t="s">
        <v>34</v>
      </c>
    </row>
    <row r="220" spans="1:14" x14ac:dyDescent="0.3">
      <c r="A220" s="62">
        <v>45256</v>
      </c>
      <c r="B220" t="s">
        <v>76</v>
      </c>
      <c r="C220" t="s">
        <v>15</v>
      </c>
      <c r="D220" t="s">
        <v>38</v>
      </c>
      <c r="E220" t="s">
        <v>24</v>
      </c>
      <c r="F220" t="s">
        <v>18</v>
      </c>
      <c r="G220" t="s">
        <v>91</v>
      </c>
      <c r="H220" t="s">
        <v>26</v>
      </c>
      <c r="I220">
        <v>6214</v>
      </c>
      <c r="J220">
        <v>0.3</v>
      </c>
      <c r="K220">
        <v>1864.1999999999998</v>
      </c>
      <c r="L220" t="s">
        <v>20</v>
      </c>
      <c r="M220" t="s">
        <v>46</v>
      </c>
      <c r="N220" t="s">
        <v>37</v>
      </c>
    </row>
    <row r="221" spans="1:14" x14ac:dyDescent="0.3">
      <c r="A221" s="62">
        <v>45257</v>
      </c>
      <c r="B221" t="s">
        <v>76</v>
      </c>
      <c r="C221" t="s">
        <v>15</v>
      </c>
      <c r="D221" t="s">
        <v>36</v>
      </c>
      <c r="E221" t="s">
        <v>17</v>
      </c>
      <c r="F221" t="s">
        <v>25</v>
      </c>
      <c r="G221" t="s">
        <v>91</v>
      </c>
      <c r="H221" t="s">
        <v>33</v>
      </c>
      <c r="I221">
        <v>7505</v>
      </c>
      <c r="J221">
        <v>0.25</v>
      </c>
      <c r="K221">
        <v>1876.25</v>
      </c>
      <c r="L221" t="s">
        <v>20</v>
      </c>
      <c r="M221" t="s">
        <v>46</v>
      </c>
      <c r="N221" t="s">
        <v>37</v>
      </c>
    </row>
    <row r="222" spans="1:14" x14ac:dyDescent="0.3">
      <c r="A222" s="62">
        <v>45258</v>
      </c>
      <c r="B222" t="s">
        <v>76</v>
      </c>
      <c r="C222" t="s">
        <v>15</v>
      </c>
      <c r="D222" t="s">
        <v>64</v>
      </c>
      <c r="E222" t="s">
        <v>17</v>
      </c>
      <c r="F222" t="s">
        <v>41</v>
      </c>
      <c r="G222" t="s">
        <v>89</v>
      </c>
      <c r="H222" t="s">
        <v>29</v>
      </c>
      <c r="I222">
        <v>7453</v>
      </c>
      <c r="J222">
        <v>0.25</v>
      </c>
      <c r="K222">
        <v>1863.25</v>
      </c>
      <c r="L222" t="s">
        <v>27</v>
      </c>
      <c r="M222" t="s">
        <v>25</v>
      </c>
      <c r="N222" t="s">
        <v>30</v>
      </c>
    </row>
    <row r="223" spans="1:14" x14ac:dyDescent="0.3">
      <c r="A223" s="62">
        <v>45260</v>
      </c>
      <c r="B223" t="s">
        <v>76</v>
      </c>
      <c r="C223" t="s">
        <v>15</v>
      </c>
      <c r="D223" t="s">
        <v>35</v>
      </c>
      <c r="E223" t="s">
        <v>24</v>
      </c>
      <c r="F223" t="s">
        <v>41</v>
      </c>
      <c r="G223" t="s">
        <v>89</v>
      </c>
      <c r="H223" t="s">
        <v>42</v>
      </c>
      <c r="I223">
        <v>5939</v>
      </c>
      <c r="J223">
        <v>0.25</v>
      </c>
      <c r="K223">
        <v>1484.75</v>
      </c>
      <c r="L223" t="s">
        <v>27</v>
      </c>
      <c r="M223" t="s">
        <v>25</v>
      </c>
      <c r="N223" t="s">
        <v>37</v>
      </c>
    </row>
    <row r="224" spans="1:14" x14ac:dyDescent="0.3">
      <c r="A224" s="62">
        <v>45264</v>
      </c>
      <c r="B224" t="s">
        <v>77</v>
      </c>
      <c r="C224" t="s">
        <v>15</v>
      </c>
      <c r="D224" t="s">
        <v>52</v>
      </c>
      <c r="E224" t="s">
        <v>17</v>
      </c>
      <c r="F224" t="s">
        <v>25</v>
      </c>
      <c r="G224" t="s">
        <v>91</v>
      </c>
      <c r="H224" t="s">
        <v>29</v>
      </c>
      <c r="I224">
        <v>5833</v>
      </c>
      <c r="J224">
        <v>0.25</v>
      </c>
      <c r="K224">
        <v>1458.25</v>
      </c>
      <c r="L224" t="s">
        <v>20</v>
      </c>
      <c r="M224" t="s">
        <v>21</v>
      </c>
      <c r="N224" t="s">
        <v>22</v>
      </c>
    </row>
    <row r="225" spans="1:14" x14ac:dyDescent="0.3">
      <c r="A225" s="62">
        <v>45264</v>
      </c>
      <c r="B225" t="s">
        <v>77</v>
      </c>
      <c r="C225" t="s">
        <v>15</v>
      </c>
      <c r="D225" t="s">
        <v>38</v>
      </c>
      <c r="E225" t="s">
        <v>24</v>
      </c>
      <c r="F225" t="s">
        <v>39</v>
      </c>
      <c r="G225" t="s">
        <v>90</v>
      </c>
      <c r="H225" t="s">
        <v>42</v>
      </c>
      <c r="I225">
        <v>6702</v>
      </c>
      <c r="J225">
        <v>0.35</v>
      </c>
      <c r="K225">
        <v>2345.6999999999998</v>
      </c>
      <c r="L225" t="s">
        <v>20</v>
      </c>
      <c r="M225" t="s">
        <v>21</v>
      </c>
      <c r="N225" t="s">
        <v>30</v>
      </c>
    </row>
    <row r="226" spans="1:14" x14ac:dyDescent="0.3">
      <c r="A226" s="62">
        <v>45265</v>
      </c>
      <c r="B226" t="s">
        <v>77</v>
      </c>
      <c r="C226" t="s">
        <v>15</v>
      </c>
      <c r="D226" t="s">
        <v>47</v>
      </c>
      <c r="E226" t="s">
        <v>24</v>
      </c>
      <c r="F226" t="s">
        <v>25</v>
      </c>
      <c r="G226" t="s">
        <v>91</v>
      </c>
      <c r="H226" t="s">
        <v>26</v>
      </c>
      <c r="I226">
        <v>7465</v>
      </c>
      <c r="J226">
        <v>0.25</v>
      </c>
      <c r="K226">
        <v>1866.25</v>
      </c>
      <c r="L226" t="s">
        <v>20</v>
      </c>
      <c r="M226" t="s">
        <v>21</v>
      </c>
      <c r="N226" t="s">
        <v>30</v>
      </c>
    </row>
    <row r="227" spans="1:14" x14ac:dyDescent="0.3">
      <c r="A227" s="62">
        <v>45274</v>
      </c>
      <c r="B227" t="s">
        <v>77</v>
      </c>
      <c r="C227" t="s">
        <v>15</v>
      </c>
      <c r="D227" t="s">
        <v>59</v>
      </c>
      <c r="E227" t="s">
        <v>24</v>
      </c>
      <c r="F227" t="s">
        <v>32</v>
      </c>
      <c r="G227" t="s">
        <v>90</v>
      </c>
      <c r="H227" t="s">
        <v>42</v>
      </c>
      <c r="I227">
        <v>6348</v>
      </c>
      <c r="J227">
        <v>0.4</v>
      </c>
      <c r="K227">
        <v>2539.2000000000003</v>
      </c>
      <c r="L227" t="s">
        <v>27</v>
      </c>
      <c r="M227" t="s">
        <v>25</v>
      </c>
      <c r="N227" t="s">
        <v>22</v>
      </c>
    </row>
    <row r="228" spans="1:14" x14ac:dyDescent="0.3">
      <c r="A228" s="62">
        <v>45274</v>
      </c>
      <c r="B228" t="s">
        <v>77</v>
      </c>
      <c r="C228" t="s">
        <v>15</v>
      </c>
      <c r="D228" t="s">
        <v>66</v>
      </c>
      <c r="E228" t="s">
        <v>24</v>
      </c>
      <c r="F228" t="s">
        <v>41</v>
      </c>
      <c r="G228" t="s">
        <v>89</v>
      </c>
      <c r="H228" t="s">
        <v>33</v>
      </c>
      <c r="I228">
        <v>6799</v>
      </c>
      <c r="J228">
        <v>0.25</v>
      </c>
      <c r="K228">
        <v>1699.75</v>
      </c>
      <c r="L228" t="s">
        <v>20</v>
      </c>
      <c r="M228" t="s">
        <v>21</v>
      </c>
      <c r="N228" t="s">
        <v>34</v>
      </c>
    </row>
    <row r="229" spans="1:14" x14ac:dyDescent="0.3">
      <c r="A229" s="62">
        <v>45274</v>
      </c>
      <c r="B229" t="s">
        <v>77</v>
      </c>
      <c r="C229" t="s">
        <v>15</v>
      </c>
      <c r="D229" t="s">
        <v>28</v>
      </c>
      <c r="E229" t="s">
        <v>24</v>
      </c>
      <c r="F229" t="s">
        <v>25</v>
      </c>
      <c r="G229" t="s">
        <v>91</v>
      </c>
      <c r="H229" t="s">
        <v>33</v>
      </c>
      <c r="I229">
        <v>7574</v>
      </c>
      <c r="J229">
        <v>0.25</v>
      </c>
      <c r="K229">
        <v>1893.5</v>
      </c>
      <c r="L229" t="s">
        <v>27</v>
      </c>
      <c r="M229" t="s">
        <v>25</v>
      </c>
      <c r="N229" t="s">
        <v>37</v>
      </c>
    </row>
    <row r="230" spans="1:14" x14ac:dyDescent="0.3">
      <c r="A230" s="62">
        <v>45275</v>
      </c>
      <c r="B230" t="s">
        <v>77</v>
      </c>
      <c r="C230" t="s">
        <v>15</v>
      </c>
      <c r="D230" t="s">
        <v>60</v>
      </c>
      <c r="E230" t="s">
        <v>24</v>
      </c>
      <c r="F230" t="s">
        <v>39</v>
      </c>
      <c r="G230" t="s">
        <v>90</v>
      </c>
      <c r="H230" t="s">
        <v>19</v>
      </c>
      <c r="I230">
        <v>6208</v>
      </c>
      <c r="J230">
        <v>0.35</v>
      </c>
      <c r="K230">
        <v>2172.7999999999997</v>
      </c>
      <c r="L230" t="s">
        <v>20</v>
      </c>
      <c r="M230" t="s">
        <v>21</v>
      </c>
      <c r="N230" t="s">
        <v>22</v>
      </c>
    </row>
    <row r="231" spans="1:14" x14ac:dyDescent="0.3">
      <c r="A231" s="62">
        <v>45276</v>
      </c>
      <c r="B231" t="s">
        <v>77</v>
      </c>
      <c r="C231" t="s">
        <v>15</v>
      </c>
      <c r="D231" t="s">
        <v>54</v>
      </c>
      <c r="E231" t="s">
        <v>17</v>
      </c>
      <c r="F231" t="s">
        <v>25</v>
      </c>
      <c r="G231" t="s">
        <v>91</v>
      </c>
      <c r="H231" t="s">
        <v>33</v>
      </c>
      <c r="I231">
        <v>7689</v>
      </c>
      <c r="J231">
        <v>0.25</v>
      </c>
      <c r="K231">
        <v>1922.25</v>
      </c>
      <c r="L231" t="s">
        <v>20</v>
      </c>
      <c r="M231" t="s">
        <v>25</v>
      </c>
      <c r="N231" t="s">
        <v>37</v>
      </c>
    </row>
    <row r="232" spans="1:14" x14ac:dyDescent="0.3">
      <c r="A232" s="62">
        <v>45277</v>
      </c>
      <c r="B232" t="s">
        <v>77</v>
      </c>
      <c r="C232" t="s">
        <v>15</v>
      </c>
      <c r="D232" t="s">
        <v>48</v>
      </c>
      <c r="E232" t="s">
        <v>17</v>
      </c>
      <c r="F232" t="s">
        <v>32</v>
      </c>
      <c r="G232" t="s">
        <v>90</v>
      </c>
      <c r="H232" t="s">
        <v>29</v>
      </c>
      <c r="I232">
        <v>6062</v>
      </c>
      <c r="J232">
        <v>0.4</v>
      </c>
      <c r="K232">
        <v>2424.8000000000002</v>
      </c>
      <c r="L232" t="s">
        <v>27</v>
      </c>
      <c r="M232" t="s">
        <v>21</v>
      </c>
      <c r="N232" t="s">
        <v>22</v>
      </c>
    </row>
    <row r="233" spans="1:14" x14ac:dyDescent="0.3">
      <c r="A233" s="62">
        <v>45278</v>
      </c>
      <c r="B233" t="s">
        <v>77</v>
      </c>
      <c r="C233" t="s">
        <v>15</v>
      </c>
      <c r="D233" t="s">
        <v>16</v>
      </c>
      <c r="E233" t="s">
        <v>17</v>
      </c>
      <c r="F233" t="s">
        <v>25</v>
      </c>
      <c r="G233" t="s">
        <v>91</v>
      </c>
      <c r="H233" t="s">
        <v>29</v>
      </c>
      <c r="I233">
        <v>6387</v>
      </c>
      <c r="J233">
        <v>0.25</v>
      </c>
      <c r="K233">
        <v>1596.75</v>
      </c>
      <c r="L233" t="s">
        <v>27</v>
      </c>
      <c r="M233" t="s">
        <v>46</v>
      </c>
      <c r="N233" t="s">
        <v>37</v>
      </c>
    </row>
    <row r="234" spans="1:14" x14ac:dyDescent="0.3">
      <c r="A234" s="62">
        <v>45279</v>
      </c>
      <c r="B234" t="s">
        <v>77</v>
      </c>
      <c r="C234" t="s">
        <v>15</v>
      </c>
      <c r="D234" t="s">
        <v>48</v>
      </c>
      <c r="E234" t="s">
        <v>17</v>
      </c>
      <c r="F234" t="s">
        <v>41</v>
      </c>
      <c r="G234" t="s">
        <v>89</v>
      </c>
      <c r="H234" t="s">
        <v>42</v>
      </c>
      <c r="I234">
        <v>5222</v>
      </c>
      <c r="J234">
        <v>0.25</v>
      </c>
      <c r="K234">
        <v>1305.5</v>
      </c>
      <c r="L234" t="s">
        <v>27</v>
      </c>
      <c r="M234" t="s">
        <v>21</v>
      </c>
      <c r="N234" t="s">
        <v>34</v>
      </c>
    </row>
    <row r="235" spans="1:14" x14ac:dyDescent="0.3">
      <c r="A235" s="62">
        <v>45279</v>
      </c>
      <c r="B235" t="s">
        <v>77</v>
      </c>
      <c r="C235" t="s">
        <v>15</v>
      </c>
      <c r="D235" t="s">
        <v>16</v>
      </c>
      <c r="E235" t="s">
        <v>17</v>
      </c>
      <c r="F235" t="s">
        <v>41</v>
      </c>
      <c r="G235" t="s">
        <v>89</v>
      </c>
      <c r="H235" t="s">
        <v>42</v>
      </c>
      <c r="I235">
        <v>5570</v>
      </c>
      <c r="J235">
        <v>0.25</v>
      </c>
      <c r="K235">
        <v>1392.5</v>
      </c>
      <c r="L235" t="s">
        <v>20</v>
      </c>
      <c r="M235" t="s">
        <v>25</v>
      </c>
      <c r="N235" t="s">
        <v>30</v>
      </c>
    </row>
    <row r="236" spans="1:14" x14ac:dyDescent="0.3">
      <c r="A236" s="62">
        <v>45279</v>
      </c>
      <c r="B236" t="s">
        <v>77</v>
      </c>
      <c r="C236" t="s">
        <v>15</v>
      </c>
      <c r="D236" t="s">
        <v>51</v>
      </c>
      <c r="E236" t="s">
        <v>24</v>
      </c>
      <c r="F236" t="s">
        <v>32</v>
      </c>
      <c r="G236" t="s">
        <v>90</v>
      </c>
      <c r="H236" t="s">
        <v>33</v>
      </c>
      <c r="I236">
        <v>7799</v>
      </c>
      <c r="J236">
        <v>0.4</v>
      </c>
      <c r="K236">
        <v>3119.6000000000004</v>
      </c>
      <c r="L236" t="s">
        <v>27</v>
      </c>
      <c r="M236" t="s">
        <v>25</v>
      </c>
      <c r="N236" t="s">
        <v>37</v>
      </c>
    </row>
    <row r="237" spans="1:14" x14ac:dyDescent="0.3">
      <c r="A237" s="62">
        <v>45280</v>
      </c>
      <c r="B237" t="s">
        <v>77</v>
      </c>
      <c r="C237" t="s">
        <v>15</v>
      </c>
      <c r="D237" t="s">
        <v>45</v>
      </c>
      <c r="E237" t="s">
        <v>17</v>
      </c>
      <c r="F237" t="s">
        <v>18</v>
      </c>
      <c r="G237" t="s">
        <v>91</v>
      </c>
      <c r="H237" t="s">
        <v>19</v>
      </c>
      <c r="I237">
        <v>7853</v>
      </c>
      <c r="J237">
        <v>0.3</v>
      </c>
      <c r="K237">
        <v>2355.9</v>
      </c>
      <c r="L237" t="s">
        <v>20</v>
      </c>
      <c r="M237" t="s">
        <v>46</v>
      </c>
      <c r="N237" t="s">
        <v>22</v>
      </c>
    </row>
    <row r="238" spans="1:14" x14ac:dyDescent="0.3">
      <c r="A238" s="62">
        <v>45280</v>
      </c>
      <c r="B238" t="s">
        <v>77</v>
      </c>
      <c r="C238" t="s">
        <v>15</v>
      </c>
      <c r="D238" t="s">
        <v>60</v>
      </c>
      <c r="E238" t="s">
        <v>24</v>
      </c>
      <c r="F238" t="s">
        <v>39</v>
      </c>
      <c r="G238" t="s">
        <v>90</v>
      </c>
      <c r="H238" t="s">
        <v>29</v>
      </c>
      <c r="I238">
        <v>6776</v>
      </c>
      <c r="J238">
        <v>0.35</v>
      </c>
      <c r="K238">
        <v>2371.6</v>
      </c>
      <c r="L238" t="s">
        <v>27</v>
      </c>
      <c r="M238" t="s">
        <v>21</v>
      </c>
      <c r="N238" t="s">
        <v>34</v>
      </c>
    </row>
    <row r="239" spans="1:14" x14ac:dyDescent="0.3">
      <c r="A239" s="62">
        <v>45282</v>
      </c>
      <c r="B239" t="s">
        <v>77</v>
      </c>
      <c r="C239" t="s">
        <v>15</v>
      </c>
      <c r="D239" t="s">
        <v>23</v>
      </c>
      <c r="E239" t="s">
        <v>24</v>
      </c>
      <c r="F239" t="s">
        <v>41</v>
      </c>
      <c r="G239" t="s">
        <v>89</v>
      </c>
      <c r="H239" t="s">
        <v>29</v>
      </c>
      <c r="I239">
        <v>7306</v>
      </c>
      <c r="J239">
        <v>0.25</v>
      </c>
      <c r="K239">
        <v>1826.5</v>
      </c>
      <c r="L239" t="s">
        <v>20</v>
      </c>
      <c r="M239" t="s">
        <v>21</v>
      </c>
      <c r="N239" t="s">
        <v>37</v>
      </c>
    </row>
    <row r="240" spans="1:14" x14ac:dyDescent="0.3">
      <c r="A240" s="62">
        <v>45282</v>
      </c>
      <c r="B240" t="s">
        <v>77</v>
      </c>
      <c r="C240" t="s">
        <v>15</v>
      </c>
      <c r="D240" t="s">
        <v>66</v>
      </c>
      <c r="E240" t="s">
        <v>24</v>
      </c>
      <c r="F240" t="s">
        <v>18</v>
      </c>
      <c r="G240" t="s">
        <v>91</v>
      </c>
      <c r="H240" t="s">
        <v>26</v>
      </c>
      <c r="I240">
        <v>5882</v>
      </c>
      <c r="J240">
        <v>0.3</v>
      </c>
      <c r="K240">
        <v>1764.6</v>
      </c>
      <c r="L240" t="s">
        <v>27</v>
      </c>
      <c r="M240" t="s">
        <v>21</v>
      </c>
      <c r="N240" t="s">
        <v>37</v>
      </c>
    </row>
    <row r="241" spans="1:14" x14ac:dyDescent="0.3">
      <c r="A241" s="62">
        <v>45283</v>
      </c>
      <c r="B241" t="s">
        <v>77</v>
      </c>
      <c r="C241" t="s">
        <v>15</v>
      </c>
      <c r="D241" t="s">
        <v>54</v>
      </c>
      <c r="E241" t="s">
        <v>17</v>
      </c>
      <c r="F241" t="s">
        <v>39</v>
      </c>
      <c r="G241" t="s">
        <v>90</v>
      </c>
      <c r="H241" t="s">
        <v>29</v>
      </c>
      <c r="I241">
        <v>6336</v>
      </c>
      <c r="J241">
        <v>0.35</v>
      </c>
      <c r="K241">
        <v>2217.6</v>
      </c>
      <c r="L241" t="s">
        <v>27</v>
      </c>
      <c r="M241" t="s">
        <v>25</v>
      </c>
      <c r="N241" t="s">
        <v>30</v>
      </c>
    </row>
    <row r="242" spans="1:14" x14ac:dyDescent="0.3">
      <c r="A242" s="62">
        <v>45283</v>
      </c>
      <c r="B242" t="s">
        <v>77</v>
      </c>
      <c r="C242" t="s">
        <v>15</v>
      </c>
      <c r="D242" t="s">
        <v>54</v>
      </c>
      <c r="E242" t="s">
        <v>17</v>
      </c>
      <c r="F242" t="s">
        <v>39</v>
      </c>
      <c r="G242" t="s">
        <v>90</v>
      </c>
      <c r="H242" t="s">
        <v>19</v>
      </c>
      <c r="I242">
        <v>7642</v>
      </c>
      <c r="J242">
        <v>0.35</v>
      </c>
      <c r="K242">
        <v>2674.7</v>
      </c>
      <c r="L242" t="s">
        <v>27</v>
      </c>
      <c r="M242" t="s">
        <v>46</v>
      </c>
      <c r="N242" t="s">
        <v>34</v>
      </c>
    </row>
    <row r="243" spans="1:14" x14ac:dyDescent="0.3">
      <c r="A243" s="62">
        <v>45287</v>
      </c>
      <c r="B243" t="s">
        <v>77</v>
      </c>
      <c r="C243" t="s">
        <v>15</v>
      </c>
      <c r="D243" t="s">
        <v>49</v>
      </c>
      <c r="E243" t="s">
        <v>17</v>
      </c>
      <c r="F243" t="s">
        <v>25</v>
      </c>
      <c r="G243" t="s">
        <v>91</v>
      </c>
      <c r="H243" t="s">
        <v>29</v>
      </c>
      <c r="I243">
        <v>5260</v>
      </c>
      <c r="J243">
        <v>0.25</v>
      </c>
      <c r="K243">
        <v>1315</v>
      </c>
      <c r="L243" t="s">
        <v>20</v>
      </c>
      <c r="M243" t="s">
        <v>25</v>
      </c>
      <c r="N243" t="s">
        <v>30</v>
      </c>
    </row>
    <row r="244" spans="1:14" x14ac:dyDescent="0.3">
      <c r="A244" s="62">
        <v>45294</v>
      </c>
      <c r="B244" t="s">
        <v>14</v>
      </c>
      <c r="C244" t="s">
        <v>78</v>
      </c>
      <c r="D244" t="s">
        <v>63</v>
      </c>
      <c r="E244" t="s">
        <v>17</v>
      </c>
      <c r="F244" t="s">
        <v>39</v>
      </c>
      <c r="G244" t="s">
        <v>90</v>
      </c>
      <c r="H244" t="s">
        <v>33</v>
      </c>
      <c r="I244">
        <v>5603</v>
      </c>
      <c r="J244">
        <v>0.35</v>
      </c>
      <c r="K244">
        <v>1961.05</v>
      </c>
      <c r="L244" t="s">
        <v>27</v>
      </c>
      <c r="M244" t="s">
        <v>21</v>
      </c>
      <c r="N244" t="s">
        <v>34</v>
      </c>
    </row>
    <row r="245" spans="1:14" x14ac:dyDescent="0.3">
      <c r="A245" s="62">
        <v>45299</v>
      </c>
      <c r="B245" t="s">
        <v>14</v>
      </c>
      <c r="C245" t="s">
        <v>78</v>
      </c>
      <c r="D245" t="s">
        <v>55</v>
      </c>
      <c r="E245" t="s">
        <v>24</v>
      </c>
      <c r="F245" t="s">
        <v>41</v>
      </c>
      <c r="G245" t="s">
        <v>89</v>
      </c>
      <c r="H245" t="s">
        <v>26</v>
      </c>
      <c r="I245">
        <v>4422</v>
      </c>
      <c r="J245">
        <v>0.25</v>
      </c>
      <c r="K245">
        <v>1105.5</v>
      </c>
      <c r="L245" t="s">
        <v>20</v>
      </c>
      <c r="M245" t="s">
        <v>21</v>
      </c>
      <c r="N245" t="s">
        <v>30</v>
      </c>
    </row>
    <row r="246" spans="1:14" x14ac:dyDescent="0.3">
      <c r="A246" s="62">
        <v>45299</v>
      </c>
      <c r="B246" t="s">
        <v>14</v>
      </c>
      <c r="C246" t="s">
        <v>78</v>
      </c>
      <c r="D246" t="s">
        <v>44</v>
      </c>
      <c r="E246" t="s">
        <v>24</v>
      </c>
      <c r="F246" t="s">
        <v>41</v>
      </c>
      <c r="G246" t="s">
        <v>89</v>
      </c>
      <c r="H246" t="s">
        <v>29</v>
      </c>
      <c r="I246">
        <v>5895</v>
      </c>
      <c r="J246">
        <v>0.25</v>
      </c>
      <c r="K246">
        <v>1473.75</v>
      </c>
      <c r="L246" t="s">
        <v>27</v>
      </c>
      <c r="M246" t="s">
        <v>21</v>
      </c>
      <c r="N246" t="s">
        <v>30</v>
      </c>
    </row>
    <row r="247" spans="1:14" x14ac:dyDescent="0.3">
      <c r="A247" s="62">
        <v>45301</v>
      </c>
      <c r="B247" t="s">
        <v>14</v>
      </c>
      <c r="C247" t="s">
        <v>78</v>
      </c>
      <c r="D247" t="s">
        <v>63</v>
      </c>
      <c r="E247" t="s">
        <v>17</v>
      </c>
      <c r="F247" t="s">
        <v>41</v>
      </c>
      <c r="G247" t="s">
        <v>89</v>
      </c>
      <c r="H247" t="s">
        <v>19</v>
      </c>
      <c r="I247">
        <v>4287</v>
      </c>
      <c r="J247">
        <v>0.25</v>
      </c>
      <c r="K247">
        <v>1071.75</v>
      </c>
      <c r="L247" t="s">
        <v>27</v>
      </c>
      <c r="M247" t="s">
        <v>25</v>
      </c>
      <c r="N247" t="s">
        <v>30</v>
      </c>
    </row>
    <row r="248" spans="1:14" x14ac:dyDescent="0.3">
      <c r="A248" s="62">
        <v>45301</v>
      </c>
      <c r="B248" t="s">
        <v>14</v>
      </c>
      <c r="C248" t="s">
        <v>78</v>
      </c>
      <c r="D248" t="s">
        <v>73</v>
      </c>
      <c r="E248" t="s">
        <v>24</v>
      </c>
      <c r="F248" t="s">
        <v>32</v>
      </c>
      <c r="G248" t="s">
        <v>90</v>
      </c>
      <c r="H248" t="s">
        <v>42</v>
      </c>
      <c r="I248">
        <v>4092</v>
      </c>
      <c r="J248">
        <v>0.4</v>
      </c>
      <c r="K248">
        <v>1636.8000000000002</v>
      </c>
      <c r="L248" t="s">
        <v>20</v>
      </c>
      <c r="M248" t="s">
        <v>46</v>
      </c>
      <c r="N248" t="s">
        <v>30</v>
      </c>
    </row>
    <row r="249" spans="1:14" x14ac:dyDescent="0.3">
      <c r="A249" s="62">
        <v>45302</v>
      </c>
      <c r="B249" t="s">
        <v>14</v>
      </c>
      <c r="C249" t="s">
        <v>78</v>
      </c>
      <c r="D249" t="s">
        <v>48</v>
      </c>
      <c r="E249" t="s">
        <v>17</v>
      </c>
      <c r="F249" t="s">
        <v>25</v>
      </c>
      <c r="G249" t="s">
        <v>91</v>
      </c>
      <c r="H249" t="s">
        <v>29</v>
      </c>
      <c r="I249">
        <v>4004</v>
      </c>
      <c r="J249">
        <v>0.25</v>
      </c>
      <c r="K249">
        <v>1001</v>
      </c>
      <c r="L249" t="s">
        <v>20</v>
      </c>
      <c r="M249" t="s">
        <v>25</v>
      </c>
      <c r="N249" t="s">
        <v>37</v>
      </c>
    </row>
    <row r="250" spans="1:14" x14ac:dyDescent="0.3">
      <c r="A250" s="62">
        <v>45302</v>
      </c>
      <c r="B250" t="s">
        <v>14</v>
      </c>
      <c r="C250" t="s">
        <v>78</v>
      </c>
      <c r="D250" t="s">
        <v>50</v>
      </c>
      <c r="E250" t="s">
        <v>17</v>
      </c>
      <c r="F250" t="s">
        <v>18</v>
      </c>
      <c r="G250" t="s">
        <v>91</v>
      </c>
      <c r="H250" t="s">
        <v>29</v>
      </c>
      <c r="I250">
        <v>5209</v>
      </c>
      <c r="J250">
        <v>0.3</v>
      </c>
      <c r="K250">
        <v>1562.7</v>
      </c>
      <c r="L250" t="s">
        <v>27</v>
      </c>
      <c r="M250" t="s">
        <v>46</v>
      </c>
      <c r="N250" t="s">
        <v>37</v>
      </c>
    </row>
    <row r="251" spans="1:14" x14ac:dyDescent="0.3">
      <c r="A251" s="62">
        <v>45303</v>
      </c>
      <c r="B251" t="s">
        <v>14</v>
      </c>
      <c r="C251" t="s">
        <v>78</v>
      </c>
      <c r="D251" t="s">
        <v>54</v>
      </c>
      <c r="E251" t="s">
        <v>17</v>
      </c>
      <c r="F251" t="s">
        <v>41</v>
      </c>
      <c r="G251" t="s">
        <v>89</v>
      </c>
      <c r="H251" t="s">
        <v>33</v>
      </c>
      <c r="I251">
        <v>6903</v>
      </c>
      <c r="J251">
        <v>0.25</v>
      </c>
      <c r="K251">
        <v>1725.75</v>
      </c>
      <c r="L251" t="s">
        <v>27</v>
      </c>
      <c r="M251" t="s">
        <v>46</v>
      </c>
      <c r="N251" t="s">
        <v>30</v>
      </c>
    </row>
    <row r="252" spans="1:14" x14ac:dyDescent="0.3">
      <c r="A252" s="62">
        <v>45306</v>
      </c>
      <c r="B252" t="s">
        <v>14</v>
      </c>
      <c r="C252" t="s">
        <v>78</v>
      </c>
      <c r="D252" t="s">
        <v>50</v>
      </c>
      <c r="E252" t="s">
        <v>17</v>
      </c>
      <c r="F252" t="s">
        <v>32</v>
      </c>
      <c r="G252" t="s">
        <v>90</v>
      </c>
      <c r="H252" t="s">
        <v>26</v>
      </c>
      <c r="I252">
        <v>6945</v>
      </c>
      <c r="J252">
        <v>0.4</v>
      </c>
      <c r="K252">
        <v>2778</v>
      </c>
      <c r="L252" t="s">
        <v>20</v>
      </c>
      <c r="M252" t="s">
        <v>21</v>
      </c>
      <c r="N252" t="s">
        <v>22</v>
      </c>
    </row>
    <row r="253" spans="1:14" x14ac:dyDescent="0.3">
      <c r="A253" s="62">
        <v>45306</v>
      </c>
      <c r="B253" t="s">
        <v>14</v>
      </c>
      <c r="C253" t="s">
        <v>78</v>
      </c>
      <c r="D253" t="s">
        <v>49</v>
      </c>
      <c r="E253" t="s">
        <v>17</v>
      </c>
      <c r="F253" t="s">
        <v>25</v>
      </c>
      <c r="G253" t="s">
        <v>91</v>
      </c>
      <c r="H253" t="s">
        <v>29</v>
      </c>
      <c r="I253">
        <v>6330</v>
      </c>
      <c r="J253">
        <v>0.25</v>
      </c>
      <c r="K253">
        <v>1582.5</v>
      </c>
      <c r="L253" t="s">
        <v>20</v>
      </c>
      <c r="M253" t="s">
        <v>21</v>
      </c>
      <c r="N253" t="s">
        <v>37</v>
      </c>
    </row>
    <row r="254" spans="1:14" x14ac:dyDescent="0.3">
      <c r="A254" s="62">
        <v>45306</v>
      </c>
      <c r="B254" t="s">
        <v>14</v>
      </c>
      <c r="C254" t="s">
        <v>78</v>
      </c>
      <c r="D254" t="s">
        <v>28</v>
      </c>
      <c r="E254" t="s">
        <v>24</v>
      </c>
      <c r="F254" t="s">
        <v>39</v>
      </c>
      <c r="G254" t="s">
        <v>90</v>
      </c>
      <c r="H254" t="s">
        <v>19</v>
      </c>
      <c r="I254">
        <v>3203</v>
      </c>
      <c r="J254">
        <v>0.35</v>
      </c>
      <c r="K254">
        <v>1121.05</v>
      </c>
      <c r="L254" t="s">
        <v>20</v>
      </c>
      <c r="M254" t="s">
        <v>21</v>
      </c>
      <c r="N254" t="s">
        <v>37</v>
      </c>
    </row>
    <row r="255" spans="1:14" x14ac:dyDescent="0.3">
      <c r="A255" s="62">
        <v>45307</v>
      </c>
      <c r="B255" t="s">
        <v>14</v>
      </c>
      <c r="C255" t="s">
        <v>78</v>
      </c>
      <c r="D255" t="s">
        <v>43</v>
      </c>
      <c r="E255" t="s">
        <v>24</v>
      </c>
      <c r="F255" t="s">
        <v>25</v>
      </c>
      <c r="G255" t="s">
        <v>91</v>
      </c>
      <c r="H255" t="s">
        <v>29</v>
      </c>
      <c r="I255">
        <v>6850</v>
      </c>
      <c r="J255">
        <v>0.25</v>
      </c>
      <c r="K255">
        <v>1712.5</v>
      </c>
      <c r="L255" t="s">
        <v>20</v>
      </c>
      <c r="M255" t="s">
        <v>21</v>
      </c>
      <c r="N255" t="s">
        <v>30</v>
      </c>
    </row>
    <row r="256" spans="1:14" x14ac:dyDescent="0.3">
      <c r="A256" s="62">
        <v>45310</v>
      </c>
      <c r="B256" t="s">
        <v>14</v>
      </c>
      <c r="C256" t="s">
        <v>78</v>
      </c>
      <c r="D256" t="s">
        <v>52</v>
      </c>
      <c r="E256" t="s">
        <v>17</v>
      </c>
      <c r="F256" t="s">
        <v>25</v>
      </c>
      <c r="G256" t="s">
        <v>91</v>
      </c>
      <c r="H256" t="s">
        <v>19</v>
      </c>
      <c r="I256">
        <v>5799</v>
      </c>
      <c r="J256">
        <v>0.25</v>
      </c>
      <c r="K256">
        <v>1449.75</v>
      </c>
      <c r="L256" t="s">
        <v>27</v>
      </c>
      <c r="M256" t="s">
        <v>25</v>
      </c>
      <c r="N256" t="s">
        <v>30</v>
      </c>
    </row>
    <row r="257" spans="1:14" x14ac:dyDescent="0.3">
      <c r="A257" s="62">
        <v>45316</v>
      </c>
      <c r="B257" t="s">
        <v>14</v>
      </c>
      <c r="C257" t="s">
        <v>78</v>
      </c>
      <c r="D257" t="s">
        <v>55</v>
      </c>
      <c r="E257" t="s">
        <v>24</v>
      </c>
      <c r="F257" t="s">
        <v>25</v>
      </c>
      <c r="G257" t="s">
        <v>91</v>
      </c>
      <c r="H257" t="s">
        <v>29</v>
      </c>
      <c r="I257">
        <v>5999</v>
      </c>
      <c r="J257">
        <v>0.25</v>
      </c>
      <c r="K257">
        <v>1499.75</v>
      </c>
      <c r="L257" t="s">
        <v>27</v>
      </c>
      <c r="M257" t="s">
        <v>25</v>
      </c>
      <c r="N257" t="s">
        <v>37</v>
      </c>
    </row>
    <row r="258" spans="1:14" x14ac:dyDescent="0.3">
      <c r="A258" s="62">
        <v>45319</v>
      </c>
      <c r="B258" t="s">
        <v>14</v>
      </c>
      <c r="C258" t="s">
        <v>78</v>
      </c>
      <c r="D258" t="s">
        <v>23</v>
      </c>
      <c r="E258" t="s">
        <v>24</v>
      </c>
      <c r="F258" t="s">
        <v>41</v>
      </c>
      <c r="G258" t="s">
        <v>89</v>
      </c>
      <c r="H258" t="s">
        <v>29</v>
      </c>
      <c r="I258">
        <v>5251</v>
      </c>
      <c r="J258">
        <v>0.25</v>
      </c>
      <c r="K258">
        <v>1312.75</v>
      </c>
      <c r="L258" t="s">
        <v>20</v>
      </c>
      <c r="M258" t="s">
        <v>46</v>
      </c>
      <c r="N258" t="s">
        <v>37</v>
      </c>
    </row>
    <row r="259" spans="1:14" x14ac:dyDescent="0.3">
      <c r="A259" s="62">
        <v>45320</v>
      </c>
      <c r="B259" t="s">
        <v>14</v>
      </c>
      <c r="C259" t="s">
        <v>78</v>
      </c>
      <c r="D259" t="s">
        <v>64</v>
      </c>
      <c r="E259" t="s">
        <v>17</v>
      </c>
      <c r="F259" t="s">
        <v>25</v>
      </c>
      <c r="G259" t="s">
        <v>91</v>
      </c>
      <c r="H259" t="s">
        <v>33</v>
      </c>
      <c r="I259">
        <v>4086</v>
      </c>
      <c r="J259">
        <v>0.25</v>
      </c>
      <c r="K259">
        <v>1021.5</v>
      </c>
      <c r="L259" t="s">
        <v>20</v>
      </c>
      <c r="M259" t="s">
        <v>21</v>
      </c>
      <c r="N259" t="s">
        <v>37</v>
      </c>
    </row>
    <row r="260" spans="1:14" x14ac:dyDescent="0.3">
      <c r="A260" s="62">
        <v>45320</v>
      </c>
      <c r="B260" t="s">
        <v>14</v>
      </c>
      <c r="C260" t="s">
        <v>78</v>
      </c>
      <c r="D260" t="s">
        <v>28</v>
      </c>
      <c r="E260" t="s">
        <v>24</v>
      </c>
      <c r="F260" t="s">
        <v>39</v>
      </c>
      <c r="G260" t="s">
        <v>90</v>
      </c>
      <c r="H260" t="s">
        <v>33</v>
      </c>
      <c r="I260">
        <v>6257</v>
      </c>
      <c r="J260">
        <v>0.35</v>
      </c>
      <c r="K260">
        <v>2189.9499999999998</v>
      </c>
      <c r="L260" t="s">
        <v>27</v>
      </c>
      <c r="M260" t="s">
        <v>25</v>
      </c>
      <c r="N260" t="s">
        <v>37</v>
      </c>
    </row>
    <row r="261" spans="1:14" x14ac:dyDescent="0.3">
      <c r="A261" s="62">
        <v>45320</v>
      </c>
      <c r="B261" t="s">
        <v>14</v>
      </c>
      <c r="C261" t="s">
        <v>78</v>
      </c>
      <c r="D261" t="s">
        <v>38</v>
      </c>
      <c r="E261" t="s">
        <v>24</v>
      </c>
      <c r="F261" t="s">
        <v>25</v>
      </c>
      <c r="G261" t="s">
        <v>91</v>
      </c>
      <c r="H261" t="s">
        <v>26</v>
      </c>
      <c r="I261">
        <v>4346</v>
      </c>
      <c r="J261">
        <v>0.25</v>
      </c>
      <c r="K261">
        <v>1086.5</v>
      </c>
      <c r="L261" t="s">
        <v>20</v>
      </c>
      <c r="M261" t="s">
        <v>21</v>
      </c>
      <c r="N261" t="s">
        <v>30</v>
      </c>
    </row>
    <row r="262" spans="1:14" x14ac:dyDescent="0.3">
      <c r="A262" s="62">
        <v>45321</v>
      </c>
      <c r="B262" t="s">
        <v>14</v>
      </c>
      <c r="C262" t="s">
        <v>78</v>
      </c>
      <c r="D262" t="s">
        <v>62</v>
      </c>
      <c r="E262" t="s">
        <v>24</v>
      </c>
      <c r="F262" t="s">
        <v>41</v>
      </c>
      <c r="G262" t="s">
        <v>89</v>
      </c>
      <c r="H262" t="s">
        <v>19</v>
      </c>
      <c r="I262">
        <v>5588</v>
      </c>
      <c r="J262">
        <v>0.25</v>
      </c>
      <c r="K262">
        <v>1397</v>
      </c>
      <c r="L262" t="s">
        <v>27</v>
      </c>
      <c r="M262" t="s">
        <v>46</v>
      </c>
      <c r="N262" t="s">
        <v>34</v>
      </c>
    </row>
    <row r="263" spans="1:14" x14ac:dyDescent="0.3">
      <c r="A263" s="62">
        <v>45322</v>
      </c>
      <c r="B263" t="s">
        <v>14</v>
      </c>
      <c r="C263" t="s">
        <v>78</v>
      </c>
      <c r="D263" t="s">
        <v>16</v>
      </c>
      <c r="E263" t="s">
        <v>17</v>
      </c>
      <c r="F263" t="s">
        <v>41</v>
      </c>
      <c r="G263" t="s">
        <v>89</v>
      </c>
      <c r="H263" t="s">
        <v>29</v>
      </c>
      <c r="I263">
        <v>3328</v>
      </c>
      <c r="J263">
        <v>0.25</v>
      </c>
      <c r="K263">
        <v>832</v>
      </c>
      <c r="L263" t="s">
        <v>27</v>
      </c>
      <c r="M263" t="s">
        <v>25</v>
      </c>
      <c r="N263" t="s">
        <v>37</v>
      </c>
    </row>
    <row r="264" spans="1:14" x14ac:dyDescent="0.3">
      <c r="A264" s="62">
        <v>45324</v>
      </c>
      <c r="B264" t="s">
        <v>53</v>
      </c>
      <c r="C264" t="s">
        <v>78</v>
      </c>
      <c r="D264" t="s">
        <v>66</v>
      </c>
      <c r="E264" t="s">
        <v>24</v>
      </c>
      <c r="F264" t="s">
        <v>41</v>
      </c>
      <c r="G264" t="s">
        <v>89</v>
      </c>
      <c r="H264" t="s">
        <v>42</v>
      </c>
      <c r="I264">
        <v>3708</v>
      </c>
      <c r="J264">
        <v>0.25</v>
      </c>
      <c r="K264">
        <v>927</v>
      </c>
      <c r="L264" t="s">
        <v>27</v>
      </c>
      <c r="M264" t="s">
        <v>21</v>
      </c>
      <c r="N264" t="s">
        <v>34</v>
      </c>
    </row>
    <row r="265" spans="1:14" x14ac:dyDescent="0.3">
      <c r="A265" s="62">
        <v>45325</v>
      </c>
      <c r="B265" t="s">
        <v>53</v>
      </c>
      <c r="C265" t="s">
        <v>78</v>
      </c>
      <c r="D265" t="s">
        <v>50</v>
      </c>
      <c r="E265" t="s">
        <v>17</v>
      </c>
      <c r="F265" t="s">
        <v>18</v>
      </c>
      <c r="G265" t="s">
        <v>91</v>
      </c>
      <c r="H265" t="s">
        <v>29</v>
      </c>
      <c r="I265">
        <v>3786</v>
      </c>
      <c r="J265">
        <v>0.3</v>
      </c>
      <c r="K265">
        <v>1135.8</v>
      </c>
      <c r="L265" t="s">
        <v>27</v>
      </c>
      <c r="M265" t="s">
        <v>46</v>
      </c>
      <c r="N265" t="s">
        <v>30</v>
      </c>
    </row>
    <row r="266" spans="1:14" x14ac:dyDescent="0.3">
      <c r="A266" s="62">
        <v>45328</v>
      </c>
      <c r="B266" t="s">
        <v>53</v>
      </c>
      <c r="C266" t="s">
        <v>78</v>
      </c>
      <c r="D266" t="s">
        <v>56</v>
      </c>
      <c r="E266" t="s">
        <v>17</v>
      </c>
      <c r="F266" t="s">
        <v>18</v>
      </c>
      <c r="G266" t="s">
        <v>91</v>
      </c>
      <c r="H266" t="s">
        <v>29</v>
      </c>
      <c r="I266">
        <v>4238</v>
      </c>
      <c r="J266">
        <v>0.3</v>
      </c>
      <c r="K266">
        <v>1271.3999999999999</v>
      </c>
      <c r="L266" t="s">
        <v>20</v>
      </c>
      <c r="M266" t="s">
        <v>21</v>
      </c>
      <c r="N266" t="s">
        <v>22</v>
      </c>
    </row>
    <row r="267" spans="1:14" x14ac:dyDescent="0.3">
      <c r="A267" s="62">
        <v>45328</v>
      </c>
      <c r="B267" t="s">
        <v>53</v>
      </c>
      <c r="C267" t="s">
        <v>78</v>
      </c>
      <c r="D267" t="s">
        <v>57</v>
      </c>
      <c r="E267" t="s">
        <v>24</v>
      </c>
      <c r="F267" t="s">
        <v>41</v>
      </c>
      <c r="G267" t="s">
        <v>89</v>
      </c>
      <c r="H267" t="s">
        <v>26</v>
      </c>
      <c r="I267">
        <v>2573</v>
      </c>
      <c r="J267">
        <v>0.25</v>
      </c>
      <c r="K267">
        <v>643.25</v>
      </c>
      <c r="L267" t="s">
        <v>27</v>
      </c>
      <c r="M267" t="s">
        <v>21</v>
      </c>
      <c r="N267" t="s">
        <v>34</v>
      </c>
    </row>
    <row r="268" spans="1:14" x14ac:dyDescent="0.3">
      <c r="A268" s="62">
        <v>45330</v>
      </c>
      <c r="B268" t="s">
        <v>53</v>
      </c>
      <c r="C268" t="s">
        <v>78</v>
      </c>
      <c r="D268" t="s">
        <v>63</v>
      </c>
      <c r="E268" t="s">
        <v>17</v>
      </c>
      <c r="F268" t="s">
        <v>25</v>
      </c>
      <c r="G268" t="s">
        <v>91</v>
      </c>
      <c r="H268" t="s">
        <v>19</v>
      </c>
      <c r="I268">
        <v>6194</v>
      </c>
      <c r="J268">
        <v>0.25</v>
      </c>
      <c r="K268">
        <v>1548.5</v>
      </c>
      <c r="L268" t="s">
        <v>20</v>
      </c>
      <c r="M268" t="s">
        <v>21</v>
      </c>
      <c r="N268" t="s">
        <v>30</v>
      </c>
    </row>
    <row r="269" spans="1:14" x14ac:dyDescent="0.3">
      <c r="A269" s="62">
        <v>45333</v>
      </c>
      <c r="B269" t="s">
        <v>53</v>
      </c>
      <c r="C269" t="s">
        <v>78</v>
      </c>
      <c r="D269" t="s">
        <v>52</v>
      </c>
      <c r="E269" t="s">
        <v>17</v>
      </c>
      <c r="F269" t="s">
        <v>32</v>
      </c>
      <c r="G269" t="s">
        <v>90</v>
      </c>
      <c r="H269" t="s">
        <v>26</v>
      </c>
      <c r="I269">
        <v>6167</v>
      </c>
      <c r="J269">
        <v>0.4</v>
      </c>
      <c r="K269">
        <v>2466.8000000000002</v>
      </c>
      <c r="L269" t="s">
        <v>20</v>
      </c>
      <c r="M269" t="s">
        <v>46</v>
      </c>
      <c r="N269" t="s">
        <v>37</v>
      </c>
    </row>
    <row r="270" spans="1:14" x14ac:dyDescent="0.3">
      <c r="A270" s="62">
        <v>45333</v>
      </c>
      <c r="B270" t="s">
        <v>53</v>
      </c>
      <c r="C270" t="s">
        <v>78</v>
      </c>
      <c r="D270" t="s">
        <v>68</v>
      </c>
      <c r="E270" t="s">
        <v>24</v>
      </c>
      <c r="F270" t="s">
        <v>18</v>
      </c>
      <c r="G270" t="s">
        <v>91</v>
      </c>
      <c r="H270" t="s">
        <v>33</v>
      </c>
      <c r="I270">
        <v>2704</v>
      </c>
      <c r="J270">
        <v>0.3</v>
      </c>
      <c r="K270">
        <v>811.19999999999993</v>
      </c>
      <c r="L270" t="s">
        <v>20</v>
      </c>
      <c r="M270" t="s">
        <v>21</v>
      </c>
      <c r="N270" t="s">
        <v>30</v>
      </c>
    </row>
    <row r="271" spans="1:14" x14ac:dyDescent="0.3">
      <c r="A271" s="62">
        <v>45334</v>
      </c>
      <c r="B271" t="s">
        <v>53</v>
      </c>
      <c r="C271" t="s">
        <v>78</v>
      </c>
      <c r="D271" t="s">
        <v>47</v>
      </c>
      <c r="E271" t="s">
        <v>24</v>
      </c>
      <c r="F271" t="s">
        <v>41</v>
      </c>
      <c r="G271" t="s">
        <v>89</v>
      </c>
      <c r="H271" t="s">
        <v>26</v>
      </c>
      <c r="I271">
        <v>7145</v>
      </c>
      <c r="J271">
        <v>0.25</v>
      </c>
      <c r="K271">
        <v>1786.25</v>
      </c>
      <c r="L271" t="s">
        <v>27</v>
      </c>
      <c r="M271" t="s">
        <v>25</v>
      </c>
      <c r="N271" t="s">
        <v>37</v>
      </c>
    </row>
    <row r="272" spans="1:14" x14ac:dyDescent="0.3">
      <c r="A272" s="62">
        <v>45334</v>
      </c>
      <c r="B272" t="s">
        <v>53</v>
      </c>
      <c r="C272" t="s">
        <v>78</v>
      </c>
      <c r="D272" t="s">
        <v>62</v>
      </c>
      <c r="E272" t="s">
        <v>24</v>
      </c>
      <c r="F272" t="s">
        <v>41</v>
      </c>
      <c r="G272" t="s">
        <v>89</v>
      </c>
      <c r="H272" t="s">
        <v>33</v>
      </c>
      <c r="I272">
        <v>6330</v>
      </c>
      <c r="J272">
        <v>0.25</v>
      </c>
      <c r="K272">
        <v>1582.5</v>
      </c>
      <c r="L272" t="s">
        <v>20</v>
      </c>
      <c r="M272" t="s">
        <v>21</v>
      </c>
      <c r="N272" t="s">
        <v>37</v>
      </c>
    </row>
    <row r="273" spans="1:14" x14ac:dyDescent="0.3">
      <c r="A273" s="62">
        <v>45339</v>
      </c>
      <c r="B273" t="s">
        <v>53</v>
      </c>
      <c r="C273" t="s">
        <v>78</v>
      </c>
      <c r="D273" t="s">
        <v>48</v>
      </c>
      <c r="E273" t="s">
        <v>17</v>
      </c>
      <c r="F273" t="s">
        <v>25</v>
      </c>
      <c r="G273" t="s">
        <v>91</v>
      </c>
      <c r="H273" t="s">
        <v>26</v>
      </c>
      <c r="I273">
        <v>6448</v>
      </c>
      <c r="J273">
        <v>0.25</v>
      </c>
      <c r="K273">
        <v>1612</v>
      </c>
      <c r="L273" t="s">
        <v>20</v>
      </c>
      <c r="M273" t="s">
        <v>46</v>
      </c>
      <c r="N273" t="s">
        <v>37</v>
      </c>
    </row>
    <row r="274" spans="1:14" x14ac:dyDescent="0.3">
      <c r="A274" s="62">
        <v>45339</v>
      </c>
      <c r="B274" t="s">
        <v>53</v>
      </c>
      <c r="C274" t="s">
        <v>78</v>
      </c>
      <c r="D274" t="s">
        <v>63</v>
      </c>
      <c r="E274" t="s">
        <v>17</v>
      </c>
      <c r="F274" t="s">
        <v>32</v>
      </c>
      <c r="G274" t="s">
        <v>90</v>
      </c>
      <c r="H274" t="s">
        <v>29</v>
      </c>
      <c r="I274">
        <v>7181</v>
      </c>
      <c r="J274">
        <v>0.4</v>
      </c>
      <c r="K274">
        <v>2872.4</v>
      </c>
      <c r="L274" t="s">
        <v>20</v>
      </c>
      <c r="M274" t="s">
        <v>21</v>
      </c>
      <c r="N274" t="s">
        <v>30</v>
      </c>
    </row>
    <row r="275" spans="1:14" x14ac:dyDescent="0.3">
      <c r="A275" s="62">
        <v>45340</v>
      </c>
      <c r="B275" t="s">
        <v>53</v>
      </c>
      <c r="C275" t="s">
        <v>78</v>
      </c>
      <c r="D275" t="s">
        <v>49</v>
      </c>
      <c r="E275" t="s">
        <v>17</v>
      </c>
      <c r="F275" t="s">
        <v>41</v>
      </c>
      <c r="G275" t="s">
        <v>89</v>
      </c>
      <c r="H275" t="s">
        <v>33</v>
      </c>
      <c r="I275">
        <v>4720</v>
      </c>
      <c r="J275">
        <v>0.25</v>
      </c>
      <c r="K275">
        <v>1180</v>
      </c>
      <c r="L275" t="s">
        <v>20</v>
      </c>
      <c r="M275" t="s">
        <v>46</v>
      </c>
      <c r="N275" t="s">
        <v>30</v>
      </c>
    </row>
    <row r="276" spans="1:14" x14ac:dyDescent="0.3">
      <c r="A276" s="62">
        <v>45341</v>
      </c>
      <c r="B276" t="s">
        <v>53</v>
      </c>
      <c r="C276" t="s">
        <v>78</v>
      </c>
      <c r="D276" t="s">
        <v>52</v>
      </c>
      <c r="E276" t="s">
        <v>17</v>
      </c>
      <c r="F276" t="s">
        <v>39</v>
      </c>
      <c r="G276" t="s">
        <v>90</v>
      </c>
      <c r="H276" t="s">
        <v>42</v>
      </c>
      <c r="I276">
        <v>3152</v>
      </c>
      <c r="J276">
        <v>0.35</v>
      </c>
      <c r="K276">
        <v>1103.1999999999998</v>
      </c>
      <c r="L276" t="s">
        <v>27</v>
      </c>
      <c r="M276" t="s">
        <v>21</v>
      </c>
      <c r="N276" t="s">
        <v>37</v>
      </c>
    </row>
    <row r="277" spans="1:14" x14ac:dyDescent="0.3">
      <c r="A277" s="62">
        <v>45343</v>
      </c>
      <c r="B277" t="s">
        <v>53</v>
      </c>
      <c r="C277" t="s">
        <v>78</v>
      </c>
      <c r="D277" t="s">
        <v>51</v>
      </c>
      <c r="E277" t="s">
        <v>24</v>
      </c>
      <c r="F277" t="s">
        <v>25</v>
      </c>
      <c r="G277" t="s">
        <v>91</v>
      </c>
      <c r="H277" t="s">
        <v>33</v>
      </c>
      <c r="I277">
        <v>4873</v>
      </c>
      <c r="J277">
        <v>0.25</v>
      </c>
      <c r="K277">
        <v>1218.25</v>
      </c>
      <c r="L277" t="s">
        <v>20</v>
      </c>
      <c r="M277" t="s">
        <v>46</v>
      </c>
      <c r="N277" t="s">
        <v>37</v>
      </c>
    </row>
    <row r="278" spans="1:14" x14ac:dyDescent="0.3">
      <c r="A278" s="62">
        <v>45344</v>
      </c>
      <c r="B278" t="s">
        <v>53</v>
      </c>
      <c r="C278" t="s">
        <v>78</v>
      </c>
      <c r="D278" t="s">
        <v>40</v>
      </c>
      <c r="E278" t="s">
        <v>17</v>
      </c>
      <c r="F278" t="s">
        <v>18</v>
      </c>
      <c r="G278" t="s">
        <v>91</v>
      </c>
      <c r="H278" t="s">
        <v>29</v>
      </c>
      <c r="I278">
        <v>6525</v>
      </c>
      <c r="J278">
        <v>0.3</v>
      </c>
      <c r="K278">
        <v>1957.5</v>
      </c>
      <c r="L278" t="s">
        <v>20</v>
      </c>
      <c r="M278" t="s">
        <v>25</v>
      </c>
      <c r="N278" t="s">
        <v>34</v>
      </c>
    </row>
    <row r="279" spans="1:14" x14ac:dyDescent="0.3">
      <c r="A279" s="62">
        <v>45345</v>
      </c>
      <c r="B279" t="s">
        <v>53</v>
      </c>
      <c r="C279" t="s">
        <v>78</v>
      </c>
      <c r="D279" t="s">
        <v>47</v>
      </c>
      <c r="E279" t="s">
        <v>24</v>
      </c>
      <c r="F279" t="s">
        <v>32</v>
      </c>
      <c r="G279" t="s">
        <v>90</v>
      </c>
      <c r="H279" t="s">
        <v>29</v>
      </c>
      <c r="I279">
        <v>3926</v>
      </c>
      <c r="J279">
        <v>0.4</v>
      </c>
      <c r="K279">
        <v>1570.4</v>
      </c>
      <c r="L279" t="s">
        <v>20</v>
      </c>
      <c r="M279" t="s">
        <v>21</v>
      </c>
      <c r="N279" t="s">
        <v>30</v>
      </c>
    </row>
    <row r="280" spans="1:14" x14ac:dyDescent="0.3">
      <c r="A280" s="62">
        <v>45349</v>
      </c>
      <c r="B280" t="s">
        <v>53</v>
      </c>
      <c r="C280" t="s">
        <v>78</v>
      </c>
      <c r="D280" t="s">
        <v>40</v>
      </c>
      <c r="E280" t="s">
        <v>17</v>
      </c>
      <c r="F280" t="s">
        <v>39</v>
      </c>
      <c r="G280" t="s">
        <v>90</v>
      </c>
      <c r="H280" t="s">
        <v>29</v>
      </c>
      <c r="I280">
        <v>5071</v>
      </c>
      <c r="J280">
        <v>0.35</v>
      </c>
      <c r="K280">
        <v>1774.85</v>
      </c>
      <c r="L280" t="s">
        <v>20</v>
      </c>
      <c r="M280" t="s">
        <v>25</v>
      </c>
      <c r="N280" t="s">
        <v>37</v>
      </c>
    </row>
    <row r="281" spans="1:14" x14ac:dyDescent="0.3">
      <c r="A281" s="62">
        <v>45349</v>
      </c>
      <c r="B281" t="s">
        <v>53</v>
      </c>
      <c r="C281" t="s">
        <v>78</v>
      </c>
      <c r="D281" t="s">
        <v>79</v>
      </c>
      <c r="E281" t="s">
        <v>24</v>
      </c>
      <c r="F281" t="s">
        <v>25</v>
      </c>
      <c r="G281" t="s">
        <v>91</v>
      </c>
      <c r="H281" t="s">
        <v>42</v>
      </c>
      <c r="I281">
        <v>3656</v>
      </c>
      <c r="J281">
        <v>0.25</v>
      </c>
      <c r="K281">
        <v>914</v>
      </c>
      <c r="L281" t="s">
        <v>27</v>
      </c>
      <c r="M281" t="s">
        <v>46</v>
      </c>
      <c r="N281" t="s">
        <v>30</v>
      </c>
    </row>
    <row r="282" spans="1:14" x14ac:dyDescent="0.3">
      <c r="A282" s="62">
        <v>45349</v>
      </c>
      <c r="B282" t="s">
        <v>53</v>
      </c>
      <c r="C282" t="s">
        <v>78</v>
      </c>
      <c r="D282" t="s">
        <v>70</v>
      </c>
      <c r="E282" t="s">
        <v>24</v>
      </c>
      <c r="F282" t="s">
        <v>39</v>
      </c>
      <c r="G282" t="s">
        <v>90</v>
      </c>
      <c r="H282" t="s">
        <v>42</v>
      </c>
      <c r="I282">
        <v>3210</v>
      </c>
      <c r="J282">
        <v>0.35</v>
      </c>
      <c r="K282">
        <v>1123.5</v>
      </c>
      <c r="L282" t="s">
        <v>20</v>
      </c>
      <c r="M282" t="s">
        <v>25</v>
      </c>
      <c r="N282" t="s">
        <v>30</v>
      </c>
    </row>
    <row r="283" spans="1:14" x14ac:dyDescent="0.3">
      <c r="A283" s="62">
        <v>45350</v>
      </c>
      <c r="B283" t="s">
        <v>53</v>
      </c>
      <c r="C283" t="s">
        <v>78</v>
      </c>
      <c r="D283" t="s">
        <v>59</v>
      </c>
      <c r="E283" t="s">
        <v>24</v>
      </c>
      <c r="F283" t="s">
        <v>39</v>
      </c>
      <c r="G283" t="s">
        <v>90</v>
      </c>
      <c r="H283" t="s">
        <v>26</v>
      </c>
      <c r="I283">
        <v>6265</v>
      </c>
      <c r="J283">
        <v>0.35</v>
      </c>
      <c r="K283">
        <v>2192.75</v>
      </c>
      <c r="L283" t="s">
        <v>27</v>
      </c>
      <c r="M283" t="s">
        <v>21</v>
      </c>
      <c r="N283" t="s">
        <v>30</v>
      </c>
    </row>
    <row r="284" spans="1:14" x14ac:dyDescent="0.3">
      <c r="A284" s="62">
        <v>45352</v>
      </c>
      <c r="B284" t="s">
        <v>61</v>
      </c>
      <c r="C284" t="s">
        <v>78</v>
      </c>
      <c r="D284" t="s">
        <v>48</v>
      </c>
      <c r="E284" t="s">
        <v>17</v>
      </c>
      <c r="F284" t="s">
        <v>39</v>
      </c>
      <c r="G284" t="s">
        <v>90</v>
      </c>
      <c r="H284" t="s">
        <v>42</v>
      </c>
      <c r="I284">
        <v>2473</v>
      </c>
      <c r="J284">
        <v>0.35</v>
      </c>
      <c r="K284">
        <v>865.55</v>
      </c>
      <c r="L284" t="s">
        <v>20</v>
      </c>
      <c r="M284" t="s">
        <v>25</v>
      </c>
      <c r="N284" t="s">
        <v>34</v>
      </c>
    </row>
    <row r="285" spans="1:14" x14ac:dyDescent="0.3">
      <c r="A285" s="62">
        <v>45352</v>
      </c>
      <c r="B285" t="s">
        <v>61</v>
      </c>
      <c r="C285" t="s">
        <v>78</v>
      </c>
      <c r="D285" t="s">
        <v>51</v>
      </c>
      <c r="E285" t="s">
        <v>24</v>
      </c>
      <c r="F285" t="s">
        <v>25</v>
      </c>
      <c r="G285" t="s">
        <v>91</v>
      </c>
      <c r="H285" t="s">
        <v>26</v>
      </c>
      <c r="I285">
        <v>3162</v>
      </c>
      <c r="J285">
        <v>0.25</v>
      </c>
      <c r="K285">
        <v>790.5</v>
      </c>
      <c r="L285" t="s">
        <v>27</v>
      </c>
      <c r="M285" t="s">
        <v>21</v>
      </c>
      <c r="N285" t="s">
        <v>22</v>
      </c>
    </row>
    <row r="286" spans="1:14" x14ac:dyDescent="0.3">
      <c r="A286" s="62">
        <v>45355</v>
      </c>
      <c r="B286" t="s">
        <v>61</v>
      </c>
      <c r="C286" t="s">
        <v>78</v>
      </c>
      <c r="D286" t="s">
        <v>40</v>
      </c>
      <c r="E286" t="s">
        <v>17</v>
      </c>
      <c r="F286" t="s">
        <v>39</v>
      </c>
      <c r="G286" t="s">
        <v>90</v>
      </c>
      <c r="H286" t="s">
        <v>26</v>
      </c>
      <c r="I286">
        <v>6880</v>
      </c>
      <c r="J286">
        <v>0.35</v>
      </c>
      <c r="K286">
        <v>2408</v>
      </c>
      <c r="L286" t="s">
        <v>27</v>
      </c>
      <c r="M286" t="s">
        <v>46</v>
      </c>
      <c r="N286" t="s">
        <v>30</v>
      </c>
    </row>
    <row r="287" spans="1:14" x14ac:dyDescent="0.3">
      <c r="A287" s="62">
        <v>45356</v>
      </c>
      <c r="B287" t="s">
        <v>61</v>
      </c>
      <c r="C287" t="s">
        <v>78</v>
      </c>
      <c r="D287" t="s">
        <v>38</v>
      </c>
      <c r="E287" t="s">
        <v>24</v>
      </c>
      <c r="F287" t="s">
        <v>32</v>
      </c>
      <c r="G287" t="s">
        <v>90</v>
      </c>
      <c r="H287" t="s">
        <v>29</v>
      </c>
      <c r="I287">
        <v>5132</v>
      </c>
      <c r="J287">
        <v>0.4</v>
      </c>
      <c r="K287">
        <v>2052.8000000000002</v>
      </c>
      <c r="L287" t="s">
        <v>20</v>
      </c>
      <c r="M287" t="s">
        <v>46</v>
      </c>
      <c r="N287" t="s">
        <v>30</v>
      </c>
    </row>
    <row r="288" spans="1:14" x14ac:dyDescent="0.3">
      <c r="A288" s="62">
        <v>45359</v>
      </c>
      <c r="B288" t="s">
        <v>61</v>
      </c>
      <c r="C288" t="s">
        <v>78</v>
      </c>
      <c r="D288" t="s">
        <v>59</v>
      </c>
      <c r="E288" t="s">
        <v>24</v>
      </c>
      <c r="F288" t="s">
        <v>32</v>
      </c>
      <c r="G288" t="s">
        <v>90</v>
      </c>
      <c r="H288" t="s">
        <v>42</v>
      </c>
      <c r="I288">
        <v>6788</v>
      </c>
      <c r="J288">
        <v>0.4</v>
      </c>
      <c r="K288">
        <v>2715.2000000000003</v>
      </c>
      <c r="L288" t="s">
        <v>20</v>
      </c>
      <c r="M288" t="s">
        <v>21</v>
      </c>
      <c r="N288" t="s">
        <v>30</v>
      </c>
    </row>
    <row r="289" spans="1:14" x14ac:dyDescent="0.3">
      <c r="A289" s="62">
        <v>45360</v>
      </c>
      <c r="B289" t="s">
        <v>61</v>
      </c>
      <c r="C289" t="s">
        <v>78</v>
      </c>
      <c r="D289" t="s">
        <v>64</v>
      </c>
      <c r="E289" t="s">
        <v>17</v>
      </c>
      <c r="F289" t="s">
        <v>39</v>
      </c>
      <c r="G289" t="s">
        <v>90</v>
      </c>
      <c r="H289" t="s">
        <v>29</v>
      </c>
      <c r="I289">
        <v>6345</v>
      </c>
      <c r="J289">
        <v>0.35</v>
      </c>
      <c r="K289">
        <v>2220.75</v>
      </c>
      <c r="L289" t="s">
        <v>20</v>
      </c>
      <c r="M289" t="s">
        <v>21</v>
      </c>
      <c r="N289" t="s">
        <v>34</v>
      </c>
    </row>
    <row r="290" spans="1:14" x14ac:dyDescent="0.3">
      <c r="A290" s="62">
        <v>45362</v>
      </c>
      <c r="B290" t="s">
        <v>61</v>
      </c>
      <c r="C290" t="s">
        <v>78</v>
      </c>
      <c r="D290" t="s">
        <v>50</v>
      </c>
      <c r="E290" t="s">
        <v>17</v>
      </c>
      <c r="F290" t="s">
        <v>41</v>
      </c>
      <c r="G290" t="s">
        <v>89</v>
      </c>
      <c r="H290" t="s">
        <v>33</v>
      </c>
      <c r="I290">
        <v>2868</v>
      </c>
      <c r="J290">
        <v>0.25</v>
      </c>
      <c r="K290">
        <v>717</v>
      </c>
      <c r="L290" t="s">
        <v>20</v>
      </c>
      <c r="M290" t="s">
        <v>21</v>
      </c>
      <c r="N290" t="s">
        <v>22</v>
      </c>
    </row>
    <row r="291" spans="1:14" x14ac:dyDescent="0.3">
      <c r="A291" s="62">
        <v>45363</v>
      </c>
      <c r="B291" t="s">
        <v>61</v>
      </c>
      <c r="C291" t="s">
        <v>78</v>
      </c>
      <c r="D291" t="s">
        <v>52</v>
      </c>
      <c r="E291" t="s">
        <v>17</v>
      </c>
      <c r="F291" t="s">
        <v>25</v>
      </c>
      <c r="G291" t="s">
        <v>91</v>
      </c>
      <c r="H291" t="s">
        <v>19</v>
      </c>
      <c r="I291">
        <v>5442</v>
      </c>
      <c r="J291">
        <v>0.25</v>
      </c>
      <c r="K291">
        <v>1360.5</v>
      </c>
      <c r="L291" t="s">
        <v>27</v>
      </c>
      <c r="M291" t="s">
        <v>21</v>
      </c>
      <c r="N291" t="s">
        <v>37</v>
      </c>
    </row>
    <row r="292" spans="1:14" x14ac:dyDescent="0.3">
      <c r="A292" s="62">
        <v>45364</v>
      </c>
      <c r="B292" t="s">
        <v>61</v>
      </c>
      <c r="C292" t="s">
        <v>78</v>
      </c>
      <c r="D292" t="s">
        <v>56</v>
      </c>
      <c r="E292" t="s">
        <v>17</v>
      </c>
      <c r="F292" t="s">
        <v>18</v>
      </c>
      <c r="G292" t="s">
        <v>91</v>
      </c>
      <c r="H292" t="s">
        <v>33</v>
      </c>
      <c r="I292">
        <v>5325</v>
      </c>
      <c r="J292">
        <v>0.3</v>
      </c>
      <c r="K292">
        <v>1597.5</v>
      </c>
      <c r="L292" t="s">
        <v>20</v>
      </c>
      <c r="M292" t="s">
        <v>25</v>
      </c>
      <c r="N292" t="s">
        <v>22</v>
      </c>
    </row>
    <row r="293" spans="1:14" x14ac:dyDescent="0.3">
      <c r="A293" s="62">
        <v>45364</v>
      </c>
      <c r="B293" t="s">
        <v>61</v>
      </c>
      <c r="C293" t="s">
        <v>78</v>
      </c>
      <c r="D293" t="s">
        <v>68</v>
      </c>
      <c r="E293" t="s">
        <v>24</v>
      </c>
      <c r="F293" t="s">
        <v>41</v>
      </c>
      <c r="G293" t="s">
        <v>89</v>
      </c>
      <c r="H293" t="s">
        <v>42</v>
      </c>
      <c r="I293">
        <v>3907</v>
      </c>
      <c r="J293">
        <v>0.25</v>
      </c>
      <c r="K293">
        <v>976.75</v>
      </c>
      <c r="L293" t="s">
        <v>27</v>
      </c>
      <c r="M293" t="s">
        <v>46</v>
      </c>
      <c r="N293" t="s">
        <v>30</v>
      </c>
    </row>
    <row r="294" spans="1:14" x14ac:dyDescent="0.3">
      <c r="A294" s="62">
        <v>45366</v>
      </c>
      <c r="B294" t="s">
        <v>61</v>
      </c>
      <c r="C294" t="s">
        <v>78</v>
      </c>
      <c r="D294" t="s">
        <v>28</v>
      </c>
      <c r="E294" t="s">
        <v>24</v>
      </c>
      <c r="F294" t="s">
        <v>18</v>
      </c>
      <c r="G294" t="s">
        <v>91</v>
      </c>
      <c r="H294" t="s">
        <v>33</v>
      </c>
      <c r="I294">
        <v>4765</v>
      </c>
      <c r="J294">
        <v>0.3</v>
      </c>
      <c r="K294">
        <v>1429.5</v>
      </c>
      <c r="L294" t="s">
        <v>27</v>
      </c>
      <c r="M294" t="s">
        <v>46</v>
      </c>
      <c r="N294" t="s">
        <v>22</v>
      </c>
    </row>
    <row r="295" spans="1:14" x14ac:dyDescent="0.3">
      <c r="A295" s="62">
        <v>45370</v>
      </c>
      <c r="B295" t="s">
        <v>61</v>
      </c>
      <c r="C295" t="s">
        <v>78</v>
      </c>
      <c r="D295" t="s">
        <v>54</v>
      </c>
      <c r="E295" t="s">
        <v>17</v>
      </c>
      <c r="F295" t="s">
        <v>32</v>
      </c>
      <c r="G295" t="s">
        <v>90</v>
      </c>
      <c r="H295" t="s">
        <v>26</v>
      </c>
      <c r="I295">
        <v>6030</v>
      </c>
      <c r="J295">
        <v>0.4</v>
      </c>
      <c r="K295">
        <v>2412</v>
      </c>
      <c r="L295" t="s">
        <v>20</v>
      </c>
      <c r="M295" t="s">
        <v>46</v>
      </c>
      <c r="N295" t="s">
        <v>22</v>
      </c>
    </row>
    <row r="296" spans="1:14" x14ac:dyDescent="0.3">
      <c r="A296" s="62">
        <v>45370</v>
      </c>
      <c r="B296" t="s">
        <v>61</v>
      </c>
      <c r="C296" t="s">
        <v>78</v>
      </c>
      <c r="D296" t="s">
        <v>68</v>
      </c>
      <c r="E296" t="s">
        <v>24</v>
      </c>
      <c r="F296" t="s">
        <v>32</v>
      </c>
      <c r="G296" t="s">
        <v>90</v>
      </c>
      <c r="H296" t="s">
        <v>33</v>
      </c>
      <c r="I296">
        <v>5796</v>
      </c>
      <c r="J296">
        <v>0.4</v>
      </c>
      <c r="K296">
        <v>2318.4</v>
      </c>
      <c r="L296" t="s">
        <v>27</v>
      </c>
      <c r="M296" t="s">
        <v>21</v>
      </c>
      <c r="N296" t="s">
        <v>30</v>
      </c>
    </row>
    <row r="297" spans="1:14" x14ac:dyDescent="0.3">
      <c r="A297" s="62">
        <v>45370</v>
      </c>
      <c r="B297" t="s">
        <v>61</v>
      </c>
      <c r="C297" t="s">
        <v>78</v>
      </c>
      <c r="D297" t="s">
        <v>35</v>
      </c>
      <c r="E297" t="s">
        <v>24</v>
      </c>
      <c r="F297" t="s">
        <v>32</v>
      </c>
      <c r="G297" t="s">
        <v>90</v>
      </c>
      <c r="H297" t="s">
        <v>29</v>
      </c>
      <c r="I297">
        <v>3903</v>
      </c>
      <c r="J297">
        <v>0.4</v>
      </c>
      <c r="K297">
        <v>1561.2</v>
      </c>
      <c r="L297" t="s">
        <v>27</v>
      </c>
      <c r="M297" t="s">
        <v>25</v>
      </c>
      <c r="N297" t="s">
        <v>30</v>
      </c>
    </row>
    <row r="298" spans="1:14" x14ac:dyDescent="0.3">
      <c r="A298" s="62">
        <v>45371</v>
      </c>
      <c r="B298" t="s">
        <v>61</v>
      </c>
      <c r="C298" t="s">
        <v>78</v>
      </c>
      <c r="D298" t="s">
        <v>36</v>
      </c>
      <c r="E298" t="s">
        <v>17</v>
      </c>
      <c r="F298" t="s">
        <v>41</v>
      </c>
      <c r="G298" t="s">
        <v>89</v>
      </c>
      <c r="H298" t="s">
        <v>33</v>
      </c>
      <c r="I298">
        <v>6933</v>
      </c>
      <c r="J298">
        <v>0.25</v>
      </c>
      <c r="K298">
        <v>1733.25</v>
      </c>
      <c r="L298" t="s">
        <v>20</v>
      </c>
      <c r="M298" t="s">
        <v>25</v>
      </c>
      <c r="N298" t="s">
        <v>34</v>
      </c>
    </row>
    <row r="299" spans="1:14" x14ac:dyDescent="0.3">
      <c r="A299" s="62">
        <v>45377</v>
      </c>
      <c r="B299" t="s">
        <v>61</v>
      </c>
      <c r="C299" t="s">
        <v>78</v>
      </c>
      <c r="D299" t="s">
        <v>54</v>
      </c>
      <c r="E299" t="s">
        <v>17</v>
      </c>
      <c r="F299" t="s">
        <v>41</v>
      </c>
      <c r="G299" t="s">
        <v>89</v>
      </c>
      <c r="H299" t="s">
        <v>29</v>
      </c>
      <c r="I299">
        <v>3446</v>
      </c>
      <c r="J299">
        <v>0.25</v>
      </c>
      <c r="K299">
        <v>861.5</v>
      </c>
      <c r="L299" t="s">
        <v>20</v>
      </c>
      <c r="M299" t="s">
        <v>25</v>
      </c>
      <c r="N299" t="s">
        <v>30</v>
      </c>
    </row>
    <row r="300" spans="1:14" x14ac:dyDescent="0.3">
      <c r="A300" s="62">
        <v>45377</v>
      </c>
      <c r="B300" t="s">
        <v>61</v>
      </c>
      <c r="C300" t="s">
        <v>78</v>
      </c>
      <c r="D300" t="s">
        <v>60</v>
      </c>
      <c r="E300" t="s">
        <v>24</v>
      </c>
      <c r="F300" t="s">
        <v>39</v>
      </c>
      <c r="G300" t="s">
        <v>90</v>
      </c>
      <c r="H300" t="s">
        <v>29</v>
      </c>
      <c r="I300">
        <v>3227</v>
      </c>
      <c r="J300">
        <v>0.35</v>
      </c>
      <c r="K300">
        <v>1129.4499999999998</v>
      </c>
      <c r="L300" t="s">
        <v>20</v>
      </c>
      <c r="M300" t="s">
        <v>46</v>
      </c>
      <c r="N300" t="s">
        <v>30</v>
      </c>
    </row>
    <row r="301" spans="1:14" x14ac:dyDescent="0.3">
      <c r="A301" s="62">
        <v>45379</v>
      </c>
      <c r="B301" t="s">
        <v>61</v>
      </c>
      <c r="C301" t="s">
        <v>78</v>
      </c>
      <c r="D301" t="s">
        <v>55</v>
      </c>
      <c r="E301" t="s">
        <v>24</v>
      </c>
      <c r="F301" t="s">
        <v>39</v>
      </c>
      <c r="G301" t="s">
        <v>90</v>
      </c>
      <c r="H301" t="s">
        <v>33</v>
      </c>
      <c r="I301">
        <v>5167</v>
      </c>
      <c r="J301">
        <v>0.35</v>
      </c>
      <c r="K301">
        <v>1808.4499999999998</v>
      </c>
      <c r="L301" t="s">
        <v>27</v>
      </c>
      <c r="M301" t="s">
        <v>21</v>
      </c>
      <c r="N301" t="s">
        <v>34</v>
      </c>
    </row>
    <row r="302" spans="1:14" x14ac:dyDescent="0.3">
      <c r="A302" s="62">
        <v>45381</v>
      </c>
      <c r="B302" t="s">
        <v>61</v>
      </c>
      <c r="C302" t="s">
        <v>78</v>
      </c>
      <c r="D302" t="s">
        <v>66</v>
      </c>
      <c r="E302" t="s">
        <v>24</v>
      </c>
      <c r="F302" t="s">
        <v>32</v>
      </c>
      <c r="G302" t="s">
        <v>90</v>
      </c>
      <c r="H302" t="s">
        <v>26</v>
      </c>
      <c r="I302">
        <v>7081</v>
      </c>
      <c r="J302">
        <v>0.4</v>
      </c>
      <c r="K302">
        <v>2832.4</v>
      </c>
      <c r="L302" t="s">
        <v>27</v>
      </c>
      <c r="M302" t="s">
        <v>21</v>
      </c>
      <c r="N302" t="s">
        <v>37</v>
      </c>
    </row>
    <row r="303" spans="1:14" x14ac:dyDescent="0.3">
      <c r="A303" s="62">
        <v>45382</v>
      </c>
      <c r="B303" t="s">
        <v>61</v>
      </c>
      <c r="C303" t="s">
        <v>78</v>
      </c>
      <c r="D303" t="s">
        <v>52</v>
      </c>
      <c r="E303" t="s">
        <v>17</v>
      </c>
      <c r="F303" t="s">
        <v>39</v>
      </c>
      <c r="G303" t="s">
        <v>90</v>
      </c>
      <c r="H303" t="s">
        <v>33</v>
      </c>
      <c r="I303">
        <v>6006</v>
      </c>
      <c r="J303">
        <v>0.35</v>
      </c>
      <c r="K303">
        <v>2102.1</v>
      </c>
      <c r="L303" t="s">
        <v>27</v>
      </c>
      <c r="M303" t="s">
        <v>21</v>
      </c>
      <c r="N303" t="s">
        <v>34</v>
      </c>
    </row>
    <row r="304" spans="1:14" x14ac:dyDescent="0.3">
      <c r="A304" s="62">
        <v>45384</v>
      </c>
      <c r="B304" t="s">
        <v>65</v>
      </c>
      <c r="C304" t="s">
        <v>78</v>
      </c>
      <c r="D304" t="s">
        <v>57</v>
      </c>
      <c r="E304" t="s">
        <v>24</v>
      </c>
      <c r="F304" t="s">
        <v>32</v>
      </c>
      <c r="G304" t="s">
        <v>90</v>
      </c>
      <c r="H304" t="s">
        <v>33</v>
      </c>
      <c r="I304">
        <v>7023</v>
      </c>
      <c r="J304">
        <v>0.4</v>
      </c>
      <c r="K304">
        <v>2809.2000000000003</v>
      </c>
      <c r="L304" t="s">
        <v>27</v>
      </c>
      <c r="M304" t="s">
        <v>21</v>
      </c>
      <c r="N304" t="s">
        <v>37</v>
      </c>
    </row>
    <row r="305" spans="1:14" x14ac:dyDescent="0.3">
      <c r="A305" s="62">
        <v>45385</v>
      </c>
      <c r="B305" t="s">
        <v>65</v>
      </c>
      <c r="C305" t="s">
        <v>78</v>
      </c>
      <c r="D305" t="s">
        <v>40</v>
      </c>
      <c r="E305" t="s">
        <v>17</v>
      </c>
      <c r="F305" t="s">
        <v>18</v>
      </c>
      <c r="G305" t="s">
        <v>91</v>
      </c>
      <c r="H305" t="s">
        <v>33</v>
      </c>
      <c r="I305">
        <v>2871</v>
      </c>
      <c r="J305">
        <v>0.3</v>
      </c>
      <c r="K305">
        <v>861.3</v>
      </c>
      <c r="L305" t="s">
        <v>20</v>
      </c>
      <c r="M305" t="s">
        <v>21</v>
      </c>
      <c r="N305" t="s">
        <v>34</v>
      </c>
    </row>
    <row r="306" spans="1:14" x14ac:dyDescent="0.3">
      <c r="A306" s="62">
        <v>45385</v>
      </c>
      <c r="B306" t="s">
        <v>65</v>
      </c>
      <c r="C306" t="s">
        <v>78</v>
      </c>
      <c r="D306" t="s">
        <v>38</v>
      </c>
      <c r="E306" t="s">
        <v>24</v>
      </c>
      <c r="F306" t="s">
        <v>32</v>
      </c>
      <c r="G306" t="s">
        <v>90</v>
      </c>
      <c r="H306" t="s">
        <v>19</v>
      </c>
      <c r="I306">
        <v>6127</v>
      </c>
      <c r="J306">
        <v>0.4</v>
      </c>
      <c r="K306">
        <v>2450.8000000000002</v>
      </c>
      <c r="L306" t="s">
        <v>20</v>
      </c>
      <c r="M306" t="s">
        <v>21</v>
      </c>
      <c r="N306" t="s">
        <v>37</v>
      </c>
    </row>
    <row r="307" spans="1:14" x14ac:dyDescent="0.3">
      <c r="A307" s="62">
        <v>45386</v>
      </c>
      <c r="B307" t="s">
        <v>65</v>
      </c>
      <c r="C307" t="s">
        <v>78</v>
      </c>
      <c r="D307" t="s">
        <v>68</v>
      </c>
      <c r="E307" t="s">
        <v>24</v>
      </c>
      <c r="F307" t="s">
        <v>39</v>
      </c>
      <c r="G307" t="s">
        <v>90</v>
      </c>
      <c r="H307" t="s">
        <v>29</v>
      </c>
      <c r="I307">
        <v>3894</v>
      </c>
      <c r="J307">
        <v>0.35</v>
      </c>
      <c r="K307">
        <v>1362.8999999999999</v>
      </c>
      <c r="L307" t="s">
        <v>27</v>
      </c>
      <c r="M307" t="s">
        <v>46</v>
      </c>
      <c r="N307" t="s">
        <v>30</v>
      </c>
    </row>
    <row r="308" spans="1:14" x14ac:dyDescent="0.3">
      <c r="A308" s="62">
        <v>45389</v>
      </c>
      <c r="B308" t="s">
        <v>65</v>
      </c>
      <c r="C308" t="s">
        <v>78</v>
      </c>
      <c r="D308" t="s">
        <v>63</v>
      </c>
      <c r="E308" t="s">
        <v>17</v>
      </c>
      <c r="F308" t="s">
        <v>41</v>
      </c>
      <c r="G308" t="s">
        <v>89</v>
      </c>
      <c r="H308" t="s">
        <v>29</v>
      </c>
      <c r="I308">
        <v>6449</v>
      </c>
      <c r="J308">
        <v>0.25</v>
      </c>
      <c r="K308">
        <v>1612.25</v>
      </c>
      <c r="L308" t="s">
        <v>20</v>
      </c>
      <c r="M308" t="s">
        <v>21</v>
      </c>
      <c r="N308" t="s">
        <v>37</v>
      </c>
    </row>
    <row r="309" spans="1:14" x14ac:dyDescent="0.3">
      <c r="A309" s="62">
        <v>45390</v>
      </c>
      <c r="B309" t="s">
        <v>65</v>
      </c>
      <c r="C309" t="s">
        <v>78</v>
      </c>
      <c r="D309" t="s">
        <v>64</v>
      </c>
      <c r="E309" t="s">
        <v>17</v>
      </c>
      <c r="F309" t="s">
        <v>32</v>
      </c>
      <c r="G309" t="s">
        <v>90</v>
      </c>
      <c r="H309" t="s">
        <v>42</v>
      </c>
      <c r="I309">
        <v>4976</v>
      </c>
      <c r="J309">
        <v>0.4</v>
      </c>
      <c r="K309">
        <v>1990.4</v>
      </c>
      <c r="L309" t="s">
        <v>27</v>
      </c>
      <c r="M309" t="s">
        <v>25</v>
      </c>
      <c r="N309" t="s">
        <v>30</v>
      </c>
    </row>
    <row r="310" spans="1:14" x14ac:dyDescent="0.3">
      <c r="A310" s="62">
        <v>45390</v>
      </c>
      <c r="B310" t="s">
        <v>65</v>
      </c>
      <c r="C310" t="s">
        <v>78</v>
      </c>
      <c r="D310" t="s">
        <v>36</v>
      </c>
      <c r="E310" t="s">
        <v>17</v>
      </c>
      <c r="F310" t="s">
        <v>25</v>
      </c>
      <c r="G310" t="s">
        <v>91</v>
      </c>
      <c r="H310" t="s">
        <v>19</v>
      </c>
      <c r="I310">
        <v>5171</v>
      </c>
      <c r="J310">
        <v>0.25</v>
      </c>
      <c r="K310">
        <v>1292.75</v>
      </c>
      <c r="L310" t="s">
        <v>20</v>
      </c>
      <c r="M310" t="s">
        <v>21</v>
      </c>
      <c r="N310" t="s">
        <v>34</v>
      </c>
    </row>
    <row r="311" spans="1:14" x14ac:dyDescent="0.3">
      <c r="A311" s="62">
        <v>45391</v>
      </c>
      <c r="B311" t="s">
        <v>65</v>
      </c>
      <c r="C311" t="s">
        <v>78</v>
      </c>
      <c r="D311" t="s">
        <v>66</v>
      </c>
      <c r="E311" t="s">
        <v>24</v>
      </c>
      <c r="F311" t="s">
        <v>41</v>
      </c>
      <c r="G311" t="s">
        <v>89</v>
      </c>
      <c r="H311" t="s">
        <v>33</v>
      </c>
      <c r="I311">
        <v>6231</v>
      </c>
      <c r="J311">
        <v>0.25</v>
      </c>
      <c r="K311">
        <v>1557.75</v>
      </c>
      <c r="L311" t="s">
        <v>20</v>
      </c>
      <c r="M311" t="s">
        <v>25</v>
      </c>
      <c r="N311" t="s">
        <v>37</v>
      </c>
    </row>
    <row r="312" spans="1:14" x14ac:dyDescent="0.3">
      <c r="A312" s="62">
        <v>45392</v>
      </c>
      <c r="B312" t="s">
        <v>65</v>
      </c>
      <c r="C312" t="s">
        <v>78</v>
      </c>
      <c r="D312" t="s">
        <v>57</v>
      </c>
      <c r="E312" t="s">
        <v>24</v>
      </c>
      <c r="F312" t="s">
        <v>39</v>
      </c>
      <c r="G312" t="s">
        <v>90</v>
      </c>
      <c r="H312" t="s">
        <v>26</v>
      </c>
      <c r="I312">
        <v>4838</v>
      </c>
      <c r="J312">
        <v>0.35</v>
      </c>
      <c r="K312">
        <v>1693.3</v>
      </c>
      <c r="L312" t="s">
        <v>20</v>
      </c>
      <c r="M312" t="s">
        <v>21</v>
      </c>
      <c r="N312" t="s">
        <v>34</v>
      </c>
    </row>
    <row r="313" spans="1:14" x14ac:dyDescent="0.3">
      <c r="A313" s="62">
        <v>45396</v>
      </c>
      <c r="B313" t="s">
        <v>65</v>
      </c>
      <c r="C313" t="s">
        <v>78</v>
      </c>
      <c r="D313" t="s">
        <v>48</v>
      </c>
      <c r="E313" t="s">
        <v>17</v>
      </c>
      <c r="F313" t="s">
        <v>32</v>
      </c>
      <c r="G313" t="s">
        <v>90</v>
      </c>
      <c r="H313" t="s">
        <v>26</v>
      </c>
      <c r="I313">
        <v>4855</v>
      </c>
      <c r="J313">
        <v>0.4</v>
      </c>
      <c r="K313">
        <v>1942</v>
      </c>
      <c r="L313" t="s">
        <v>20</v>
      </c>
      <c r="M313" t="s">
        <v>21</v>
      </c>
      <c r="N313" t="s">
        <v>22</v>
      </c>
    </row>
    <row r="314" spans="1:14" x14ac:dyDescent="0.3">
      <c r="A314" s="62">
        <v>45398</v>
      </c>
      <c r="B314" t="s">
        <v>65</v>
      </c>
      <c r="C314" t="s">
        <v>78</v>
      </c>
      <c r="D314" t="s">
        <v>49</v>
      </c>
      <c r="E314" t="s">
        <v>17</v>
      </c>
      <c r="F314" t="s">
        <v>41</v>
      </c>
      <c r="G314" t="s">
        <v>89</v>
      </c>
      <c r="H314" t="s">
        <v>33</v>
      </c>
      <c r="I314">
        <v>4488</v>
      </c>
      <c r="J314">
        <v>0.25</v>
      </c>
      <c r="K314">
        <v>1122</v>
      </c>
      <c r="L314" t="s">
        <v>20</v>
      </c>
      <c r="M314" t="s">
        <v>46</v>
      </c>
      <c r="N314" t="s">
        <v>37</v>
      </c>
    </row>
    <row r="315" spans="1:14" x14ac:dyDescent="0.3">
      <c r="A315" s="62">
        <v>45399</v>
      </c>
      <c r="B315" t="s">
        <v>65</v>
      </c>
      <c r="C315" t="s">
        <v>78</v>
      </c>
      <c r="D315" t="s">
        <v>54</v>
      </c>
      <c r="E315" t="s">
        <v>17</v>
      </c>
      <c r="F315" t="s">
        <v>39</v>
      </c>
      <c r="G315" t="s">
        <v>90</v>
      </c>
      <c r="H315" t="s">
        <v>33</v>
      </c>
      <c r="I315">
        <v>3207</v>
      </c>
      <c r="J315">
        <v>0.35</v>
      </c>
      <c r="K315">
        <v>1122.4499999999998</v>
      </c>
      <c r="L315" t="s">
        <v>27</v>
      </c>
      <c r="M315" t="s">
        <v>46</v>
      </c>
      <c r="N315" t="s">
        <v>22</v>
      </c>
    </row>
    <row r="316" spans="1:14" x14ac:dyDescent="0.3">
      <c r="A316" s="62">
        <v>45401</v>
      </c>
      <c r="B316" t="s">
        <v>65</v>
      </c>
      <c r="C316" t="s">
        <v>78</v>
      </c>
      <c r="D316" t="s">
        <v>56</v>
      </c>
      <c r="E316" t="s">
        <v>17</v>
      </c>
      <c r="F316" t="s">
        <v>25</v>
      </c>
      <c r="G316" t="s">
        <v>91</v>
      </c>
      <c r="H316" t="s">
        <v>19</v>
      </c>
      <c r="I316">
        <v>5536</v>
      </c>
      <c r="J316">
        <v>0.25</v>
      </c>
      <c r="K316">
        <v>1384</v>
      </c>
      <c r="L316" t="s">
        <v>27</v>
      </c>
      <c r="M316" t="s">
        <v>21</v>
      </c>
      <c r="N316" t="s">
        <v>30</v>
      </c>
    </row>
    <row r="317" spans="1:14" x14ac:dyDescent="0.3">
      <c r="A317" s="62">
        <v>45402</v>
      </c>
      <c r="B317" t="s">
        <v>65</v>
      </c>
      <c r="C317" t="s">
        <v>78</v>
      </c>
      <c r="D317" t="s">
        <v>38</v>
      </c>
      <c r="E317" t="s">
        <v>24</v>
      </c>
      <c r="F317" t="s">
        <v>32</v>
      </c>
      <c r="G317" t="s">
        <v>90</v>
      </c>
      <c r="H317" t="s">
        <v>29</v>
      </c>
      <c r="I317">
        <v>3567</v>
      </c>
      <c r="J317">
        <v>0.4</v>
      </c>
      <c r="K317">
        <v>1426.8000000000002</v>
      </c>
      <c r="L317" t="s">
        <v>20</v>
      </c>
      <c r="M317" t="s">
        <v>46</v>
      </c>
      <c r="N317" t="s">
        <v>37</v>
      </c>
    </row>
    <row r="318" spans="1:14" x14ac:dyDescent="0.3">
      <c r="A318" s="62">
        <v>45403</v>
      </c>
      <c r="B318" t="s">
        <v>65</v>
      </c>
      <c r="C318" t="s">
        <v>78</v>
      </c>
      <c r="D318" t="s">
        <v>70</v>
      </c>
      <c r="E318" t="s">
        <v>24</v>
      </c>
      <c r="F318" t="s">
        <v>18</v>
      </c>
      <c r="G318" t="s">
        <v>91</v>
      </c>
      <c r="H318" t="s">
        <v>29</v>
      </c>
      <c r="I318">
        <v>6891</v>
      </c>
      <c r="J318">
        <v>0.3</v>
      </c>
      <c r="K318">
        <v>2067.2999999999997</v>
      </c>
      <c r="L318" t="s">
        <v>20</v>
      </c>
      <c r="M318" t="s">
        <v>46</v>
      </c>
      <c r="N318" t="s">
        <v>22</v>
      </c>
    </row>
    <row r="319" spans="1:14" x14ac:dyDescent="0.3">
      <c r="A319" s="62">
        <v>45407</v>
      </c>
      <c r="B319" t="s">
        <v>65</v>
      </c>
      <c r="C319" t="s">
        <v>78</v>
      </c>
      <c r="D319" t="s">
        <v>31</v>
      </c>
      <c r="E319" t="s">
        <v>24</v>
      </c>
      <c r="F319" t="s">
        <v>39</v>
      </c>
      <c r="G319" t="s">
        <v>90</v>
      </c>
      <c r="H319" t="s">
        <v>29</v>
      </c>
      <c r="I319">
        <v>7424</v>
      </c>
      <c r="J319">
        <v>0.35</v>
      </c>
      <c r="K319">
        <v>2598.3999999999996</v>
      </c>
      <c r="L319" t="s">
        <v>20</v>
      </c>
      <c r="M319" t="s">
        <v>21</v>
      </c>
      <c r="N319" t="s">
        <v>37</v>
      </c>
    </row>
    <row r="320" spans="1:14" x14ac:dyDescent="0.3">
      <c r="A320" s="62">
        <v>45409</v>
      </c>
      <c r="B320" t="s">
        <v>65</v>
      </c>
      <c r="C320" t="s">
        <v>78</v>
      </c>
      <c r="D320" t="s">
        <v>23</v>
      </c>
      <c r="E320" t="s">
        <v>24</v>
      </c>
      <c r="F320" t="s">
        <v>32</v>
      </c>
      <c r="G320" t="s">
        <v>90</v>
      </c>
      <c r="H320" t="s">
        <v>19</v>
      </c>
      <c r="I320">
        <v>7390</v>
      </c>
      <c r="J320">
        <v>0.4</v>
      </c>
      <c r="K320">
        <v>2956</v>
      </c>
      <c r="L320" t="s">
        <v>27</v>
      </c>
      <c r="M320" t="s">
        <v>46</v>
      </c>
      <c r="N320" t="s">
        <v>37</v>
      </c>
    </row>
    <row r="321" spans="1:14" x14ac:dyDescent="0.3">
      <c r="A321" s="62">
        <v>45410</v>
      </c>
      <c r="B321" t="s">
        <v>65</v>
      </c>
      <c r="C321" t="s">
        <v>78</v>
      </c>
      <c r="D321" t="s">
        <v>56</v>
      </c>
      <c r="E321" t="s">
        <v>17</v>
      </c>
      <c r="F321" t="s">
        <v>32</v>
      </c>
      <c r="G321" t="s">
        <v>90</v>
      </c>
      <c r="H321" t="s">
        <v>26</v>
      </c>
      <c r="I321">
        <v>6058</v>
      </c>
      <c r="J321">
        <v>0.4</v>
      </c>
      <c r="K321">
        <v>2423.2000000000003</v>
      </c>
      <c r="L321" t="s">
        <v>20</v>
      </c>
      <c r="M321" t="s">
        <v>21</v>
      </c>
      <c r="N321" t="s">
        <v>37</v>
      </c>
    </row>
    <row r="322" spans="1:14" x14ac:dyDescent="0.3">
      <c r="A322" s="62">
        <v>45412</v>
      </c>
      <c r="B322" t="s">
        <v>65</v>
      </c>
      <c r="C322" t="s">
        <v>78</v>
      </c>
      <c r="D322" t="s">
        <v>48</v>
      </c>
      <c r="E322" t="s">
        <v>17</v>
      </c>
      <c r="F322" t="s">
        <v>39</v>
      </c>
      <c r="G322" t="s">
        <v>90</v>
      </c>
      <c r="H322" t="s">
        <v>33</v>
      </c>
      <c r="I322">
        <v>4466</v>
      </c>
      <c r="J322">
        <v>0.35</v>
      </c>
      <c r="K322">
        <v>1563.1</v>
      </c>
      <c r="L322" t="s">
        <v>20</v>
      </c>
      <c r="M322" t="s">
        <v>46</v>
      </c>
      <c r="N322" t="s">
        <v>30</v>
      </c>
    </row>
    <row r="323" spans="1:14" x14ac:dyDescent="0.3">
      <c r="A323" s="62">
        <v>45412</v>
      </c>
      <c r="B323" t="s">
        <v>65</v>
      </c>
      <c r="C323" t="s">
        <v>78</v>
      </c>
      <c r="D323" t="s">
        <v>58</v>
      </c>
      <c r="E323" t="s">
        <v>24</v>
      </c>
      <c r="F323" t="s">
        <v>41</v>
      </c>
      <c r="G323" t="s">
        <v>89</v>
      </c>
      <c r="H323" t="s">
        <v>33</v>
      </c>
      <c r="I323">
        <v>2457</v>
      </c>
      <c r="J323">
        <v>0.25</v>
      </c>
      <c r="K323">
        <v>614.25</v>
      </c>
      <c r="L323" t="s">
        <v>27</v>
      </c>
      <c r="M323" t="s">
        <v>46</v>
      </c>
      <c r="N323" t="s">
        <v>22</v>
      </c>
    </row>
    <row r="324" spans="1:14" x14ac:dyDescent="0.3">
      <c r="A324" s="62">
        <v>45413</v>
      </c>
      <c r="B324" t="s">
        <v>67</v>
      </c>
      <c r="C324" t="s">
        <v>78</v>
      </c>
      <c r="D324" t="s">
        <v>52</v>
      </c>
      <c r="E324" t="s">
        <v>17</v>
      </c>
      <c r="F324" t="s">
        <v>41</v>
      </c>
      <c r="G324" t="s">
        <v>89</v>
      </c>
      <c r="H324" t="s">
        <v>33</v>
      </c>
      <c r="I324">
        <v>2645</v>
      </c>
      <c r="J324">
        <v>0.25</v>
      </c>
      <c r="K324">
        <v>661.25</v>
      </c>
      <c r="L324" t="s">
        <v>20</v>
      </c>
      <c r="M324" t="s">
        <v>46</v>
      </c>
      <c r="N324" t="s">
        <v>34</v>
      </c>
    </row>
    <row r="325" spans="1:14" x14ac:dyDescent="0.3">
      <c r="A325" s="62">
        <v>45413</v>
      </c>
      <c r="B325" t="s">
        <v>67</v>
      </c>
      <c r="C325" t="s">
        <v>78</v>
      </c>
      <c r="D325" t="s">
        <v>44</v>
      </c>
      <c r="E325" t="s">
        <v>24</v>
      </c>
      <c r="F325" t="s">
        <v>39</v>
      </c>
      <c r="G325" t="s">
        <v>90</v>
      </c>
      <c r="H325" t="s">
        <v>19</v>
      </c>
      <c r="I325">
        <v>7168</v>
      </c>
      <c r="J325">
        <v>0.35</v>
      </c>
      <c r="K325">
        <v>2508.7999999999997</v>
      </c>
      <c r="L325" t="s">
        <v>20</v>
      </c>
      <c r="M325" t="s">
        <v>46</v>
      </c>
      <c r="N325" t="s">
        <v>37</v>
      </c>
    </row>
    <row r="326" spans="1:14" x14ac:dyDescent="0.3">
      <c r="A326" s="62">
        <v>45414</v>
      </c>
      <c r="B326" t="s">
        <v>67</v>
      </c>
      <c r="C326" t="s">
        <v>78</v>
      </c>
      <c r="D326" t="s">
        <v>38</v>
      </c>
      <c r="E326" t="s">
        <v>24</v>
      </c>
      <c r="F326" t="s">
        <v>25</v>
      </c>
      <c r="G326" t="s">
        <v>91</v>
      </c>
      <c r="H326" t="s">
        <v>42</v>
      </c>
      <c r="I326">
        <v>3643</v>
      </c>
      <c r="J326">
        <v>0.25</v>
      </c>
      <c r="K326">
        <v>910.75</v>
      </c>
      <c r="L326" t="s">
        <v>20</v>
      </c>
      <c r="M326" t="s">
        <v>21</v>
      </c>
      <c r="N326" t="s">
        <v>22</v>
      </c>
    </row>
    <row r="327" spans="1:14" x14ac:dyDescent="0.3">
      <c r="A327" s="62">
        <v>45415</v>
      </c>
      <c r="B327" t="s">
        <v>67</v>
      </c>
      <c r="C327" t="s">
        <v>78</v>
      </c>
      <c r="D327" t="s">
        <v>52</v>
      </c>
      <c r="E327" t="s">
        <v>17</v>
      </c>
      <c r="F327" t="s">
        <v>41</v>
      </c>
      <c r="G327" t="s">
        <v>89</v>
      </c>
      <c r="H327" t="s">
        <v>29</v>
      </c>
      <c r="I327">
        <v>7166</v>
      </c>
      <c r="J327">
        <v>0.25</v>
      </c>
      <c r="K327">
        <v>1791.5</v>
      </c>
      <c r="L327" t="s">
        <v>20</v>
      </c>
      <c r="M327" t="s">
        <v>46</v>
      </c>
      <c r="N327" t="s">
        <v>22</v>
      </c>
    </row>
    <row r="328" spans="1:14" x14ac:dyDescent="0.3">
      <c r="A328" s="62">
        <v>45415</v>
      </c>
      <c r="B328" t="s">
        <v>67</v>
      </c>
      <c r="C328" t="s">
        <v>78</v>
      </c>
      <c r="D328" t="s">
        <v>59</v>
      </c>
      <c r="E328" t="s">
        <v>24</v>
      </c>
      <c r="F328" t="s">
        <v>39</v>
      </c>
      <c r="G328" t="s">
        <v>90</v>
      </c>
      <c r="H328" t="s">
        <v>19</v>
      </c>
      <c r="I328">
        <v>5324</v>
      </c>
      <c r="J328">
        <v>0.35</v>
      </c>
      <c r="K328">
        <v>1863.3999999999999</v>
      </c>
      <c r="L328" t="s">
        <v>27</v>
      </c>
      <c r="M328" t="s">
        <v>46</v>
      </c>
      <c r="N328" t="s">
        <v>30</v>
      </c>
    </row>
    <row r="329" spans="1:14" x14ac:dyDescent="0.3">
      <c r="A329" s="62">
        <v>45416</v>
      </c>
      <c r="B329" t="s">
        <v>67</v>
      </c>
      <c r="C329" t="s">
        <v>78</v>
      </c>
      <c r="D329" t="s">
        <v>63</v>
      </c>
      <c r="E329" t="s">
        <v>17</v>
      </c>
      <c r="F329" t="s">
        <v>25</v>
      </c>
      <c r="G329" t="s">
        <v>91</v>
      </c>
      <c r="H329" t="s">
        <v>33</v>
      </c>
      <c r="I329">
        <v>5233</v>
      </c>
      <c r="J329">
        <v>0.25</v>
      </c>
      <c r="K329">
        <v>1308.25</v>
      </c>
      <c r="L329" t="s">
        <v>20</v>
      </c>
      <c r="M329" t="s">
        <v>21</v>
      </c>
      <c r="N329" t="s">
        <v>34</v>
      </c>
    </row>
    <row r="330" spans="1:14" x14ac:dyDescent="0.3">
      <c r="A330" s="62">
        <v>45419</v>
      </c>
      <c r="B330" t="s">
        <v>67</v>
      </c>
      <c r="C330" t="s">
        <v>78</v>
      </c>
      <c r="D330" t="s">
        <v>28</v>
      </c>
      <c r="E330" t="s">
        <v>24</v>
      </c>
      <c r="F330" t="s">
        <v>41</v>
      </c>
      <c r="G330" t="s">
        <v>89</v>
      </c>
      <c r="H330" t="s">
        <v>26</v>
      </c>
      <c r="I330">
        <v>5064</v>
      </c>
      <c r="J330">
        <v>0.25</v>
      </c>
      <c r="K330">
        <v>1266</v>
      </c>
      <c r="L330" t="s">
        <v>27</v>
      </c>
      <c r="M330" t="s">
        <v>21</v>
      </c>
      <c r="N330" t="s">
        <v>37</v>
      </c>
    </row>
    <row r="331" spans="1:14" x14ac:dyDescent="0.3">
      <c r="A331" s="62">
        <v>45421</v>
      </c>
      <c r="B331" t="s">
        <v>67</v>
      </c>
      <c r="C331" t="s">
        <v>78</v>
      </c>
      <c r="D331" t="s">
        <v>36</v>
      </c>
      <c r="E331" t="s">
        <v>17</v>
      </c>
      <c r="F331" t="s">
        <v>39</v>
      </c>
      <c r="G331" t="s">
        <v>90</v>
      </c>
      <c r="H331" t="s">
        <v>33</v>
      </c>
      <c r="I331">
        <v>7419</v>
      </c>
      <c r="J331">
        <v>0.35</v>
      </c>
      <c r="K331">
        <v>2596.6499999999996</v>
      </c>
      <c r="L331" t="s">
        <v>20</v>
      </c>
      <c r="M331" t="s">
        <v>25</v>
      </c>
      <c r="N331" t="s">
        <v>22</v>
      </c>
    </row>
    <row r="332" spans="1:14" x14ac:dyDescent="0.3">
      <c r="A332" s="62">
        <v>45426</v>
      </c>
      <c r="B332" t="s">
        <v>67</v>
      </c>
      <c r="C332" t="s">
        <v>78</v>
      </c>
      <c r="D332" t="s">
        <v>40</v>
      </c>
      <c r="E332" t="s">
        <v>17</v>
      </c>
      <c r="F332" t="s">
        <v>32</v>
      </c>
      <c r="G332" t="s">
        <v>90</v>
      </c>
      <c r="H332" t="s">
        <v>29</v>
      </c>
      <c r="I332">
        <v>5511</v>
      </c>
      <c r="J332">
        <v>0.4</v>
      </c>
      <c r="K332">
        <v>2204.4</v>
      </c>
      <c r="L332" t="s">
        <v>20</v>
      </c>
      <c r="M332" t="s">
        <v>46</v>
      </c>
      <c r="N332" t="s">
        <v>22</v>
      </c>
    </row>
    <row r="333" spans="1:14" x14ac:dyDescent="0.3">
      <c r="A333" s="62">
        <v>45426</v>
      </c>
      <c r="B333" t="s">
        <v>67</v>
      </c>
      <c r="C333" t="s">
        <v>78</v>
      </c>
      <c r="D333" t="s">
        <v>70</v>
      </c>
      <c r="E333" t="s">
        <v>24</v>
      </c>
      <c r="F333" t="s">
        <v>18</v>
      </c>
      <c r="G333" t="s">
        <v>91</v>
      </c>
      <c r="H333" t="s">
        <v>29</v>
      </c>
      <c r="I333">
        <v>3786</v>
      </c>
      <c r="J333">
        <v>0.3</v>
      </c>
      <c r="K333">
        <v>1135.8</v>
      </c>
      <c r="L333" t="s">
        <v>20</v>
      </c>
      <c r="M333" t="s">
        <v>46</v>
      </c>
      <c r="N333" t="s">
        <v>22</v>
      </c>
    </row>
    <row r="334" spans="1:14" x14ac:dyDescent="0.3">
      <c r="A334" s="62">
        <v>45426</v>
      </c>
      <c r="B334" t="s">
        <v>67</v>
      </c>
      <c r="C334" t="s">
        <v>78</v>
      </c>
      <c r="D334" t="s">
        <v>44</v>
      </c>
      <c r="E334" t="s">
        <v>24</v>
      </c>
      <c r="F334" t="s">
        <v>32</v>
      </c>
      <c r="G334" t="s">
        <v>90</v>
      </c>
      <c r="H334" t="s">
        <v>33</v>
      </c>
      <c r="I334">
        <v>3218</v>
      </c>
      <c r="J334">
        <v>0.4</v>
      </c>
      <c r="K334">
        <v>1287.2</v>
      </c>
      <c r="L334" t="s">
        <v>20</v>
      </c>
      <c r="M334" t="s">
        <v>21</v>
      </c>
      <c r="N334" t="s">
        <v>37</v>
      </c>
    </row>
    <row r="335" spans="1:14" x14ac:dyDescent="0.3">
      <c r="A335" s="62">
        <v>45426</v>
      </c>
      <c r="B335" t="s">
        <v>67</v>
      </c>
      <c r="C335" t="s">
        <v>78</v>
      </c>
      <c r="D335" t="s">
        <v>51</v>
      </c>
      <c r="E335" t="s">
        <v>24</v>
      </c>
      <c r="F335" t="s">
        <v>18</v>
      </c>
      <c r="G335" t="s">
        <v>91</v>
      </c>
      <c r="H335" t="s">
        <v>26</v>
      </c>
      <c r="I335">
        <v>3555</v>
      </c>
      <c r="J335">
        <v>0.3</v>
      </c>
      <c r="K335">
        <v>1066.5</v>
      </c>
      <c r="L335" t="s">
        <v>27</v>
      </c>
      <c r="M335" t="s">
        <v>46</v>
      </c>
      <c r="N335" t="s">
        <v>22</v>
      </c>
    </row>
    <row r="336" spans="1:14" x14ac:dyDescent="0.3">
      <c r="A336" s="62">
        <v>45427</v>
      </c>
      <c r="B336" t="s">
        <v>67</v>
      </c>
      <c r="C336" t="s">
        <v>78</v>
      </c>
      <c r="D336" t="s">
        <v>64</v>
      </c>
      <c r="E336" t="s">
        <v>17</v>
      </c>
      <c r="F336" t="s">
        <v>32</v>
      </c>
      <c r="G336" t="s">
        <v>90</v>
      </c>
      <c r="H336" t="s">
        <v>29</v>
      </c>
      <c r="I336">
        <v>4229</v>
      </c>
      <c r="J336">
        <v>0.4</v>
      </c>
      <c r="K336">
        <v>1691.6000000000001</v>
      </c>
      <c r="L336" t="s">
        <v>20</v>
      </c>
      <c r="M336" t="s">
        <v>21</v>
      </c>
      <c r="N336" t="s">
        <v>22</v>
      </c>
    </row>
    <row r="337" spans="1:14" x14ac:dyDescent="0.3">
      <c r="A337" s="62">
        <v>45430</v>
      </c>
      <c r="B337" t="s">
        <v>67</v>
      </c>
      <c r="C337" t="s">
        <v>78</v>
      </c>
      <c r="D337" t="s">
        <v>52</v>
      </c>
      <c r="E337" t="s">
        <v>17</v>
      </c>
      <c r="F337" t="s">
        <v>25</v>
      </c>
      <c r="G337" t="s">
        <v>91</v>
      </c>
      <c r="H337" t="s">
        <v>19</v>
      </c>
      <c r="I337">
        <v>6036</v>
      </c>
      <c r="J337">
        <v>0.25</v>
      </c>
      <c r="K337">
        <v>1509</v>
      </c>
      <c r="L337" t="s">
        <v>27</v>
      </c>
      <c r="M337" t="s">
        <v>25</v>
      </c>
      <c r="N337" t="s">
        <v>22</v>
      </c>
    </row>
    <row r="338" spans="1:14" x14ac:dyDescent="0.3">
      <c r="A338" s="62">
        <v>45432</v>
      </c>
      <c r="B338" t="s">
        <v>67</v>
      </c>
      <c r="C338" t="s">
        <v>78</v>
      </c>
      <c r="D338" t="s">
        <v>40</v>
      </c>
      <c r="E338" t="s">
        <v>17</v>
      </c>
      <c r="F338" t="s">
        <v>25</v>
      </c>
      <c r="G338" t="s">
        <v>91</v>
      </c>
      <c r="H338" t="s">
        <v>29</v>
      </c>
      <c r="I338">
        <v>3015</v>
      </c>
      <c r="J338">
        <v>0.25</v>
      </c>
      <c r="K338">
        <v>753.75</v>
      </c>
      <c r="L338" t="s">
        <v>20</v>
      </c>
      <c r="M338" t="s">
        <v>46</v>
      </c>
      <c r="N338" t="s">
        <v>37</v>
      </c>
    </row>
    <row r="339" spans="1:14" x14ac:dyDescent="0.3">
      <c r="A339" s="62">
        <v>45432</v>
      </c>
      <c r="B339" t="s">
        <v>67</v>
      </c>
      <c r="C339" t="s">
        <v>78</v>
      </c>
      <c r="D339" t="s">
        <v>59</v>
      </c>
      <c r="E339" t="s">
        <v>24</v>
      </c>
      <c r="F339" t="s">
        <v>18</v>
      </c>
      <c r="G339" t="s">
        <v>91</v>
      </c>
      <c r="H339" t="s">
        <v>26</v>
      </c>
      <c r="I339">
        <v>2982</v>
      </c>
      <c r="J339">
        <v>0.3</v>
      </c>
      <c r="K339">
        <v>894.6</v>
      </c>
      <c r="L339" t="s">
        <v>20</v>
      </c>
      <c r="M339" t="s">
        <v>25</v>
      </c>
      <c r="N339" t="s">
        <v>34</v>
      </c>
    </row>
    <row r="340" spans="1:14" x14ac:dyDescent="0.3">
      <c r="A340" s="62">
        <v>45434</v>
      </c>
      <c r="B340" t="s">
        <v>67</v>
      </c>
      <c r="C340" t="s">
        <v>78</v>
      </c>
      <c r="D340" t="s">
        <v>16</v>
      </c>
      <c r="E340" t="s">
        <v>17</v>
      </c>
      <c r="F340" t="s">
        <v>41</v>
      </c>
      <c r="G340" t="s">
        <v>89</v>
      </c>
      <c r="H340" t="s">
        <v>26</v>
      </c>
      <c r="I340">
        <v>4222</v>
      </c>
      <c r="J340">
        <v>0.25</v>
      </c>
      <c r="K340">
        <v>1055.5</v>
      </c>
      <c r="L340" t="s">
        <v>20</v>
      </c>
      <c r="M340" t="s">
        <v>25</v>
      </c>
      <c r="N340" t="s">
        <v>34</v>
      </c>
    </row>
    <row r="341" spans="1:14" x14ac:dyDescent="0.3">
      <c r="A341" s="62">
        <v>45435</v>
      </c>
      <c r="B341" t="s">
        <v>67</v>
      </c>
      <c r="C341" t="s">
        <v>78</v>
      </c>
      <c r="D341" t="s">
        <v>47</v>
      </c>
      <c r="E341" t="s">
        <v>24</v>
      </c>
      <c r="F341" t="s">
        <v>18</v>
      </c>
      <c r="G341" t="s">
        <v>91</v>
      </c>
      <c r="H341" t="s">
        <v>26</v>
      </c>
      <c r="I341">
        <v>3040</v>
      </c>
      <c r="J341">
        <v>0.3</v>
      </c>
      <c r="K341">
        <v>912</v>
      </c>
      <c r="L341" t="s">
        <v>20</v>
      </c>
      <c r="M341" t="s">
        <v>25</v>
      </c>
      <c r="N341" t="s">
        <v>37</v>
      </c>
    </row>
    <row r="342" spans="1:14" x14ac:dyDescent="0.3">
      <c r="A342" s="62">
        <v>45438</v>
      </c>
      <c r="B342" t="s">
        <v>67</v>
      </c>
      <c r="C342" t="s">
        <v>78</v>
      </c>
      <c r="D342" t="s">
        <v>54</v>
      </c>
      <c r="E342" t="s">
        <v>17</v>
      </c>
      <c r="F342" t="s">
        <v>41</v>
      </c>
      <c r="G342" t="s">
        <v>89</v>
      </c>
      <c r="H342" t="s">
        <v>29</v>
      </c>
      <c r="I342">
        <v>6408</v>
      </c>
      <c r="J342">
        <v>0.25</v>
      </c>
      <c r="K342">
        <v>1602</v>
      </c>
      <c r="L342" t="s">
        <v>20</v>
      </c>
      <c r="M342" t="s">
        <v>46</v>
      </c>
      <c r="N342" t="s">
        <v>22</v>
      </c>
    </row>
    <row r="343" spans="1:14" x14ac:dyDescent="0.3">
      <c r="A343" s="62">
        <v>45439</v>
      </c>
      <c r="B343" t="s">
        <v>67</v>
      </c>
      <c r="C343" t="s">
        <v>78</v>
      </c>
      <c r="D343" t="s">
        <v>60</v>
      </c>
      <c r="E343" t="s">
        <v>24</v>
      </c>
      <c r="F343" t="s">
        <v>25</v>
      </c>
      <c r="G343" t="s">
        <v>91</v>
      </c>
      <c r="H343" t="s">
        <v>29</v>
      </c>
      <c r="I343">
        <v>6982</v>
      </c>
      <c r="J343">
        <v>0.25</v>
      </c>
      <c r="K343">
        <v>1745.5</v>
      </c>
      <c r="L343" t="s">
        <v>20</v>
      </c>
      <c r="M343" t="s">
        <v>46</v>
      </c>
      <c r="N343" t="s">
        <v>22</v>
      </c>
    </row>
    <row r="344" spans="1:14" x14ac:dyDescent="0.3">
      <c r="A344" s="62">
        <v>45449</v>
      </c>
      <c r="B344" t="s">
        <v>69</v>
      </c>
      <c r="C344" t="s">
        <v>78</v>
      </c>
      <c r="D344" t="s">
        <v>43</v>
      </c>
      <c r="E344" t="s">
        <v>24</v>
      </c>
      <c r="F344" t="s">
        <v>41</v>
      </c>
      <c r="G344" t="s">
        <v>89</v>
      </c>
      <c r="H344" t="s">
        <v>26</v>
      </c>
      <c r="I344">
        <v>5225</v>
      </c>
      <c r="J344">
        <v>0.25</v>
      </c>
      <c r="K344">
        <v>1306.25</v>
      </c>
      <c r="L344" t="s">
        <v>20</v>
      </c>
      <c r="M344" t="s">
        <v>21</v>
      </c>
      <c r="N344" t="s">
        <v>22</v>
      </c>
    </row>
    <row r="345" spans="1:14" x14ac:dyDescent="0.3">
      <c r="A345" s="62">
        <v>45449</v>
      </c>
      <c r="B345" t="s">
        <v>69</v>
      </c>
      <c r="C345" t="s">
        <v>78</v>
      </c>
      <c r="D345" t="s">
        <v>79</v>
      </c>
      <c r="E345" t="s">
        <v>24</v>
      </c>
      <c r="F345" t="s">
        <v>32</v>
      </c>
      <c r="G345" t="s">
        <v>90</v>
      </c>
      <c r="H345" t="s">
        <v>42</v>
      </c>
      <c r="I345">
        <v>6679</v>
      </c>
      <c r="J345">
        <v>0.4</v>
      </c>
      <c r="K345">
        <v>2671.6000000000004</v>
      </c>
      <c r="L345" t="s">
        <v>27</v>
      </c>
      <c r="M345" t="s">
        <v>21</v>
      </c>
      <c r="N345" t="s">
        <v>34</v>
      </c>
    </row>
    <row r="346" spans="1:14" x14ac:dyDescent="0.3">
      <c r="A346" s="62">
        <v>45451</v>
      </c>
      <c r="B346" t="s">
        <v>69</v>
      </c>
      <c r="C346" t="s">
        <v>78</v>
      </c>
      <c r="D346" t="s">
        <v>40</v>
      </c>
      <c r="E346" t="s">
        <v>17</v>
      </c>
      <c r="F346" t="s">
        <v>18</v>
      </c>
      <c r="G346" t="s">
        <v>91</v>
      </c>
      <c r="H346" t="s">
        <v>29</v>
      </c>
      <c r="I346">
        <v>6683</v>
      </c>
      <c r="J346">
        <v>0.3</v>
      </c>
      <c r="K346">
        <v>2004.8999999999999</v>
      </c>
      <c r="L346" t="s">
        <v>27</v>
      </c>
      <c r="M346" t="s">
        <v>25</v>
      </c>
      <c r="N346" t="s">
        <v>22</v>
      </c>
    </row>
    <row r="347" spans="1:14" x14ac:dyDescent="0.3">
      <c r="A347" s="62">
        <v>45452</v>
      </c>
      <c r="B347" t="s">
        <v>69</v>
      </c>
      <c r="C347" t="s">
        <v>78</v>
      </c>
      <c r="D347" t="s">
        <v>60</v>
      </c>
      <c r="E347" t="s">
        <v>24</v>
      </c>
      <c r="F347" t="s">
        <v>41</v>
      </c>
      <c r="G347" t="s">
        <v>89</v>
      </c>
      <c r="H347" t="s">
        <v>29</v>
      </c>
      <c r="I347">
        <v>7372</v>
      </c>
      <c r="J347">
        <v>0.25</v>
      </c>
      <c r="K347">
        <v>1843</v>
      </c>
      <c r="L347" t="s">
        <v>20</v>
      </c>
      <c r="M347" t="s">
        <v>25</v>
      </c>
      <c r="N347" t="s">
        <v>37</v>
      </c>
    </row>
    <row r="348" spans="1:14" x14ac:dyDescent="0.3">
      <c r="A348" s="62">
        <v>45455</v>
      </c>
      <c r="B348" t="s">
        <v>69</v>
      </c>
      <c r="C348" t="s">
        <v>78</v>
      </c>
      <c r="D348" t="s">
        <v>56</v>
      </c>
      <c r="E348" t="s">
        <v>17</v>
      </c>
      <c r="F348" t="s">
        <v>18</v>
      </c>
      <c r="G348" t="s">
        <v>91</v>
      </c>
      <c r="H348" t="s">
        <v>29</v>
      </c>
      <c r="I348">
        <v>6231</v>
      </c>
      <c r="J348">
        <v>0.3</v>
      </c>
      <c r="K348">
        <v>1869.3</v>
      </c>
      <c r="L348" t="s">
        <v>20</v>
      </c>
      <c r="M348" t="s">
        <v>25</v>
      </c>
      <c r="N348" t="s">
        <v>37</v>
      </c>
    </row>
    <row r="349" spans="1:14" x14ac:dyDescent="0.3">
      <c r="A349" s="62">
        <v>45456</v>
      </c>
      <c r="B349" t="s">
        <v>69</v>
      </c>
      <c r="C349" t="s">
        <v>78</v>
      </c>
      <c r="D349" t="s">
        <v>47</v>
      </c>
      <c r="E349" t="s">
        <v>24</v>
      </c>
      <c r="F349" t="s">
        <v>39</v>
      </c>
      <c r="G349" t="s">
        <v>90</v>
      </c>
      <c r="H349" t="s">
        <v>29</v>
      </c>
      <c r="I349">
        <v>2977</v>
      </c>
      <c r="J349">
        <v>0.35</v>
      </c>
      <c r="K349">
        <v>1041.95</v>
      </c>
      <c r="L349" t="s">
        <v>20</v>
      </c>
      <c r="M349" t="s">
        <v>21</v>
      </c>
      <c r="N349" t="s">
        <v>30</v>
      </c>
    </row>
    <row r="350" spans="1:14" x14ac:dyDescent="0.3">
      <c r="A350" s="62">
        <v>45460</v>
      </c>
      <c r="B350" t="s">
        <v>69</v>
      </c>
      <c r="C350" t="s">
        <v>78</v>
      </c>
      <c r="D350" t="s">
        <v>49</v>
      </c>
      <c r="E350" t="s">
        <v>17</v>
      </c>
      <c r="F350" t="s">
        <v>25</v>
      </c>
      <c r="G350" t="s">
        <v>91</v>
      </c>
      <c r="H350" t="s">
        <v>42</v>
      </c>
      <c r="I350">
        <v>4253</v>
      </c>
      <c r="J350">
        <v>0.25</v>
      </c>
      <c r="K350">
        <v>1063.25</v>
      </c>
      <c r="L350" t="s">
        <v>27</v>
      </c>
      <c r="M350" t="s">
        <v>46</v>
      </c>
      <c r="N350" t="s">
        <v>22</v>
      </c>
    </row>
    <row r="351" spans="1:14" x14ac:dyDescent="0.3">
      <c r="A351" s="62">
        <v>45461</v>
      </c>
      <c r="B351" t="s">
        <v>69</v>
      </c>
      <c r="C351" t="s">
        <v>78</v>
      </c>
      <c r="D351" t="s">
        <v>56</v>
      </c>
      <c r="E351" t="s">
        <v>17</v>
      </c>
      <c r="F351" t="s">
        <v>41</v>
      </c>
      <c r="G351" t="s">
        <v>89</v>
      </c>
      <c r="H351" t="s">
        <v>33</v>
      </c>
      <c r="I351">
        <v>4957</v>
      </c>
      <c r="J351">
        <v>0.25</v>
      </c>
      <c r="K351">
        <v>1239.25</v>
      </c>
      <c r="L351" t="s">
        <v>20</v>
      </c>
      <c r="M351" t="s">
        <v>25</v>
      </c>
      <c r="N351" t="s">
        <v>22</v>
      </c>
    </row>
    <row r="352" spans="1:14" x14ac:dyDescent="0.3">
      <c r="A352" s="62">
        <v>45462</v>
      </c>
      <c r="B352" t="s">
        <v>69</v>
      </c>
      <c r="C352" t="s">
        <v>78</v>
      </c>
      <c r="D352" t="s">
        <v>63</v>
      </c>
      <c r="E352" t="s">
        <v>17</v>
      </c>
      <c r="F352" t="s">
        <v>25</v>
      </c>
      <c r="G352" t="s">
        <v>91</v>
      </c>
      <c r="H352" t="s">
        <v>29</v>
      </c>
      <c r="I352">
        <v>6527</v>
      </c>
      <c r="J352">
        <v>0.25</v>
      </c>
      <c r="K352">
        <v>1631.75</v>
      </c>
      <c r="L352" t="s">
        <v>20</v>
      </c>
      <c r="M352" t="s">
        <v>46</v>
      </c>
      <c r="N352" t="s">
        <v>34</v>
      </c>
    </row>
    <row r="353" spans="1:14" x14ac:dyDescent="0.3">
      <c r="A353" s="62">
        <v>45463</v>
      </c>
      <c r="B353" t="s">
        <v>69</v>
      </c>
      <c r="C353" t="s">
        <v>78</v>
      </c>
      <c r="D353" t="s">
        <v>60</v>
      </c>
      <c r="E353" t="s">
        <v>24</v>
      </c>
      <c r="F353" t="s">
        <v>32</v>
      </c>
      <c r="G353" t="s">
        <v>90</v>
      </c>
      <c r="H353" t="s">
        <v>29</v>
      </c>
      <c r="I353">
        <v>7304</v>
      </c>
      <c r="J353">
        <v>0.4</v>
      </c>
      <c r="K353">
        <v>2921.6000000000004</v>
      </c>
      <c r="L353" t="s">
        <v>20</v>
      </c>
      <c r="M353" t="s">
        <v>46</v>
      </c>
      <c r="N353" t="s">
        <v>37</v>
      </c>
    </row>
    <row r="354" spans="1:14" x14ac:dyDescent="0.3">
      <c r="A354" s="62">
        <v>45465</v>
      </c>
      <c r="B354" t="s">
        <v>69</v>
      </c>
      <c r="C354" t="s">
        <v>78</v>
      </c>
      <c r="D354" t="s">
        <v>63</v>
      </c>
      <c r="E354" t="s">
        <v>17</v>
      </c>
      <c r="F354" t="s">
        <v>25</v>
      </c>
      <c r="G354" t="s">
        <v>91</v>
      </c>
      <c r="H354" t="s">
        <v>33</v>
      </c>
      <c r="I354">
        <v>3467</v>
      </c>
      <c r="J354">
        <v>0.25</v>
      </c>
      <c r="K354">
        <v>866.75</v>
      </c>
      <c r="L354" t="s">
        <v>20</v>
      </c>
      <c r="M354" t="s">
        <v>46</v>
      </c>
      <c r="N354" t="s">
        <v>30</v>
      </c>
    </row>
    <row r="355" spans="1:14" x14ac:dyDescent="0.3">
      <c r="A355" s="62">
        <v>45465</v>
      </c>
      <c r="B355" t="s">
        <v>69</v>
      </c>
      <c r="C355" t="s">
        <v>78</v>
      </c>
      <c r="D355" t="s">
        <v>40</v>
      </c>
      <c r="E355" t="s">
        <v>17</v>
      </c>
      <c r="F355" t="s">
        <v>32</v>
      </c>
      <c r="G355" t="s">
        <v>90</v>
      </c>
      <c r="H355" t="s">
        <v>29</v>
      </c>
      <c r="I355">
        <v>7337</v>
      </c>
      <c r="J355">
        <v>0.4</v>
      </c>
      <c r="K355">
        <v>2934.8</v>
      </c>
      <c r="L355" t="s">
        <v>27</v>
      </c>
      <c r="M355" t="s">
        <v>21</v>
      </c>
      <c r="N355" t="s">
        <v>37</v>
      </c>
    </row>
    <row r="356" spans="1:14" x14ac:dyDescent="0.3">
      <c r="A356" s="62">
        <v>45466</v>
      </c>
      <c r="B356" t="s">
        <v>69</v>
      </c>
      <c r="C356" t="s">
        <v>78</v>
      </c>
      <c r="D356" t="s">
        <v>49</v>
      </c>
      <c r="E356" t="s">
        <v>17</v>
      </c>
      <c r="F356" t="s">
        <v>25</v>
      </c>
      <c r="G356" t="s">
        <v>91</v>
      </c>
      <c r="H356" t="s">
        <v>29</v>
      </c>
      <c r="I356">
        <v>3007</v>
      </c>
      <c r="J356">
        <v>0.25</v>
      </c>
      <c r="K356">
        <v>751.75</v>
      </c>
      <c r="L356" t="s">
        <v>20</v>
      </c>
      <c r="M356" t="s">
        <v>21</v>
      </c>
      <c r="N356" t="s">
        <v>30</v>
      </c>
    </row>
    <row r="357" spans="1:14" x14ac:dyDescent="0.3">
      <c r="A357" s="62">
        <v>45467</v>
      </c>
      <c r="B357" t="s">
        <v>69</v>
      </c>
      <c r="C357" t="s">
        <v>78</v>
      </c>
      <c r="D357" t="s">
        <v>45</v>
      </c>
      <c r="E357" t="s">
        <v>17</v>
      </c>
      <c r="F357" t="s">
        <v>39</v>
      </c>
      <c r="G357" t="s">
        <v>90</v>
      </c>
      <c r="H357" t="s">
        <v>19</v>
      </c>
      <c r="I357">
        <v>6967</v>
      </c>
      <c r="J357">
        <v>0.35</v>
      </c>
      <c r="K357">
        <v>2438.4499999999998</v>
      </c>
      <c r="L357" t="s">
        <v>27</v>
      </c>
      <c r="M357" t="s">
        <v>46</v>
      </c>
      <c r="N357" t="s">
        <v>34</v>
      </c>
    </row>
    <row r="358" spans="1:14" x14ac:dyDescent="0.3">
      <c r="A358" s="62">
        <v>45468</v>
      </c>
      <c r="B358" t="s">
        <v>69</v>
      </c>
      <c r="C358" t="s">
        <v>78</v>
      </c>
      <c r="D358" t="s">
        <v>43</v>
      </c>
      <c r="E358" t="s">
        <v>24</v>
      </c>
      <c r="F358" t="s">
        <v>32</v>
      </c>
      <c r="G358" t="s">
        <v>90</v>
      </c>
      <c r="H358" t="s">
        <v>33</v>
      </c>
      <c r="I358">
        <v>3579</v>
      </c>
      <c r="J358">
        <v>0.4</v>
      </c>
      <c r="K358">
        <v>1431.6000000000001</v>
      </c>
      <c r="L358" t="s">
        <v>20</v>
      </c>
      <c r="M358" t="s">
        <v>21</v>
      </c>
      <c r="N358" t="s">
        <v>37</v>
      </c>
    </row>
    <row r="359" spans="1:14" x14ac:dyDescent="0.3">
      <c r="A359" s="62">
        <v>45468</v>
      </c>
      <c r="B359" t="s">
        <v>69</v>
      </c>
      <c r="C359" t="s">
        <v>78</v>
      </c>
      <c r="D359" t="s">
        <v>28</v>
      </c>
      <c r="E359" t="s">
        <v>24</v>
      </c>
      <c r="F359" t="s">
        <v>18</v>
      </c>
      <c r="G359" t="s">
        <v>91</v>
      </c>
      <c r="H359" t="s">
        <v>26</v>
      </c>
      <c r="I359">
        <v>5956</v>
      </c>
      <c r="J359">
        <v>0.3</v>
      </c>
      <c r="K359">
        <v>1786.8</v>
      </c>
      <c r="L359" t="s">
        <v>20</v>
      </c>
      <c r="M359" t="s">
        <v>25</v>
      </c>
      <c r="N359" t="s">
        <v>30</v>
      </c>
    </row>
    <row r="360" spans="1:14" x14ac:dyDescent="0.3">
      <c r="A360" s="62">
        <v>45469</v>
      </c>
      <c r="B360" t="s">
        <v>69</v>
      </c>
      <c r="C360" t="s">
        <v>78</v>
      </c>
      <c r="D360" t="s">
        <v>68</v>
      </c>
      <c r="E360" t="s">
        <v>24</v>
      </c>
      <c r="F360" t="s">
        <v>41</v>
      </c>
      <c r="G360" t="s">
        <v>89</v>
      </c>
      <c r="H360" t="s">
        <v>19</v>
      </c>
      <c r="I360">
        <v>4703</v>
      </c>
      <c r="J360">
        <v>0.25</v>
      </c>
      <c r="K360">
        <v>1175.75</v>
      </c>
      <c r="L360" t="s">
        <v>20</v>
      </c>
      <c r="M360" t="s">
        <v>21</v>
      </c>
      <c r="N360" t="s">
        <v>30</v>
      </c>
    </row>
    <row r="361" spans="1:14" x14ac:dyDescent="0.3">
      <c r="A361" s="62">
        <v>45469</v>
      </c>
      <c r="B361" t="s">
        <v>69</v>
      </c>
      <c r="C361" t="s">
        <v>78</v>
      </c>
      <c r="D361" t="s">
        <v>31</v>
      </c>
      <c r="E361" t="s">
        <v>24</v>
      </c>
      <c r="F361" t="s">
        <v>41</v>
      </c>
      <c r="G361" t="s">
        <v>89</v>
      </c>
      <c r="H361" t="s">
        <v>26</v>
      </c>
      <c r="I361">
        <v>6947</v>
      </c>
      <c r="J361">
        <v>0.25</v>
      </c>
      <c r="K361">
        <v>1736.75</v>
      </c>
      <c r="L361" t="s">
        <v>27</v>
      </c>
      <c r="M361" t="s">
        <v>46</v>
      </c>
      <c r="N361" t="s">
        <v>22</v>
      </c>
    </row>
    <row r="362" spans="1:14" x14ac:dyDescent="0.3">
      <c r="A362" s="62">
        <v>45471</v>
      </c>
      <c r="B362" t="s">
        <v>69</v>
      </c>
      <c r="C362" t="s">
        <v>78</v>
      </c>
      <c r="D362" t="s">
        <v>49</v>
      </c>
      <c r="E362" t="s">
        <v>17</v>
      </c>
      <c r="F362" t="s">
        <v>25</v>
      </c>
      <c r="G362" t="s">
        <v>91</v>
      </c>
      <c r="H362" t="s">
        <v>33</v>
      </c>
      <c r="I362">
        <v>3550</v>
      </c>
      <c r="J362">
        <v>0.25</v>
      </c>
      <c r="K362">
        <v>887.5</v>
      </c>
      <c r="L362" t="s">
        <v>27</v>
      </c>
      <c r="M362" t="s">
        <v>21</v>
      </c>
      <c r="N362" t="s">
        <v>22</v>
      </c>
    </row>
    <row r="363" spans="1:14" x14ac:dyDescent="0.3">
      <c r="A363" s="62">
        <v>45472</v>
      </c>
      <c r="B363" t="s">
        <v>69</v>
      </c>
      <c r="C363" t="s">
        <v>78</v>
      </c>
      <c r="D363" t="s">
        <v>59</v>
      </c>
      <c r="E363" t="s">
        <v>24</v>
      </c>
      <c r="F363" t="s">
        <v>41</v>
      </c>
      <c r="G363" t="s">
        <v>89</v>
      </c>
      <c r="H363" t="s">
        <v>29</v>
      </c>
      <c r="I363">
        <v>5877</v>
      </c>
      <c r="J363">
        <v>0.25</v>
      </c>
      <c r="K363">
        <v>1469.25</v>
      </c>
      <c r="L363" t="s">
        <v>20</v>
      </c>
      <c r="M363" t="s">
        <v>25</v>
      </c>
      <c r="N363" t="s">
        <v>34</v>
      </c>
    </row>
    <row r="364" spans="1:14" x14ac:dyDescent="0.3">
      <c r="A364" s="62">
        <v>45475</v>
      </c>
      <c r="B364" t="s">
        <v>71</v>
      </c>
      <c r="C364" t="s">
        <v>78</v>
      </c>
      <c r="D364" t="s">
        <v>54</v>
      </c>
      <c r="E364" t="s">
        <v>17</v>
      </c>
      <c r="F364" t="s">
        <v>25</v>
      </c>
      <c r="G364" t="s">
        <v>91</v>
      </c>
      <c r="H364" t="s">
        <v>42</v>
      </c>
      <c r="I364">
        <v>12139</v>
      </c>
      <c r="J364">
        <v>0.25</v>
      </c>
      <c r="K364">
        <v>3034.75</v>
      </c>
      <c r="L364" t="s">
        <v>20</v>
      </c>
      <c r="M364" t="s">
        <v>46</v>
      </c>
      <c r="N364" t="s">
        <v>30</v>
      </c>
    </row>
    <row r="365" spans="1:14" x14ac:dyDescent="0.3">
      <c r="A365" s="62">
        <v>45476</v>
      </c>
      <c r="B365" t="s">
        <v>71</v>
      </c>
      <c r="C365" t="s">
        <v>78</v>
      </c>
      <c r="D365" t="s">
        <v>36</v>
      </c>
      <c r="E365" t="s">
        <v>17</v>
      </c>
      <c r="F365" t="s">
        <v>32</v>
      </c>
      <c r="G365" t="s">
        <v>90</v>
      </c>
      <c r="H365" t="s">
        <v>26</v>
      </c>
      <c r="I365">
        <v>11449</v>
      </c>
      <c r="J365">
        <v>0.4</v>
      </c>
      <c r="K365">
        <v>4579.6000000000004</v>
      </c>
      <c r="L365" t="s">
        <v>27</v>
      </c>
      <c r="M365" t="s">
        <v>46</v>
      </c>
      <c r="N365" t="s">
        <v>30</v>
      </c>
    </row>
    <row r="366" spans="1:14" x14ac:dyDescent="0.3">
      <c r="A366" s="62">
        <v>45476</v>
      </c>
      <c r="B366" t="s">
        <v>71</v>
      </c>
      <c r="C366" t="s">
        <v>78</v>
      </c>
      <c r="D366" t="s">
        <v>64</v>
      </c>
      <c r="E366" t="s">
        <v>17</v>
      </c>
      <c r="F366" t="s">
        <v>41</v>
      </c>
      <c r="G366" t="s">
        <v>89</v>
      </c>
      <c r="H366" t="s">
        <v>33</v>
      </c>
      <c r="I366">
        <v>8143</v>
      </c>
      <c r="J366">
        <v>0.25</v>
      </c>
      <c r="K366">
        <v>2035.75</v>
      </c>
      <c r="L366" t="s">
        <v>20</v>
      </c>
      <c r="M366" t="s">
        <v>21</v>
      </c>
      <c r="N366" t="s">
        <v>22</v>
      </c>
    </row>
    <row r="367" spans="1:14" x14ac:dyDescent="0.3">
      <c r="A367" s="62">
        <v>45484</v>
      </c>
      <c r="B367" t="s">
        <v>71</v>
      </c>
      <c r="C367" t="s">
        <v>78</v>
      </c>
      <c r="D367" t="s">
        <v>50</v>
      </c>
      <c r="E367" t="s">
        <v>17</v>
      </c>
      <c r="F367" t="s">
        <v>18</v>
      </c>
      <c r="G367" t="s">
        <v>91</v>
      </c>
      <c r="H367" t="s">
        <v>33</v>
      </c>
      <c r="I367">
        <v>11800</v>
      </c>
      <c r="J367">
        <v>0.3</v>
      </c>
      <c r="K367">
        <v>3540</v>
      </c>
      <c r="L367" t="s">
        <v>20</v>
      </c>
      <c r="M367" t="s">
        <v>21</v>
      </c>
      <c r="N367" t="s">
        <v>34</v>
      </c>
    </row>
    <row r="368" spans="1:14" x14ac:dyDescent="0.3">
      <c r="A368" s="62">
        <v>45486</v>
      </c>
      <c r="B368" t="s">
        <v>71</v>
      </c>
      <c r="C368" t="s">
        <v>78</v>
      </c>
      <c r="D368" t="s">
        <v>28</v>
      </c>
      <c r="E368" t="s">
        <v>24</v>
      </c>
      <c r="F368" t="s">
        <v>18</v>
      </c>
      <c r="G368" t="s">
        <v>91</v>
      </c>
      <c r="H368" t="s">
        <v>29</v>
      </c>
      <c r="I368">
        <v>9912</v>
      </c>
      <c r="J368">
        <v>0.3</v>
      </c>
      <c r="K368">
        <v>2973.6</v>
      </c>
      <c r="L368" t="s">
        <v>27</v>
      </c>
      <c r="M368" t="s">
        <v>21</v>
      </c>
      <c r="N368" t="s">
        <v>37</v>
      </c>
    </row>
    <row r="369" spans="1:14" x14ac:dyDescent="0.3">
      <c r="A369" s="62">
        <v>45487</v>
      </c>
      <c r="B369" t="s">
        <v>71</v>
      </c>
      <c r="C369" t="s">
        <v>78</v>
      </c>
      <c r="D369" t="s">
        <v>64</v>
      </c>
      <c r="E369" t="s">
        <v>17</v>
      </c>
      <c r="F369" t="s">
        <v>41</v>
      </c>
      <c r="G369" t="s">
        <v>89</v>
      </c>
      <c r="H369" t="s">
        <v>26</v>
      </c>
      <c r="I369">
        <v>8622</v>
      </c>
      <c r="J369">
        <v>0.25</v>
      </c>
      <c r="K369">
        <v>2155.5</v>
      </c>
      <c r="L369" t="s">
        <v>27</v>
      </c>
      <c r="M369" t="s">
        <v>46</v>
      </c>
      <c r="N369" t="s">
        <v>34</v>
      </c>
    </row>
    <row r="370" spans="1:14" x14ac:dyDescent="0.3">
      <c r="A370" s="62">
        <v>45487</v>
      </c>
      <c r="B370" t="s">
        <v>71</v>
      </c>
      <c r="C370" t="s">
        <v>78</v>
      </c>
      <c r="D370" t="s">
        <v>62</v>
      </c>
      <c r="E370" t="s">
        <v>24</v>
      </c>
      <c r="F370" t="s">
        <v>41</v>
      </c>
      <c r="G370" t="s">
        <v>89</v>
      </c>
      <c r="H370" t="s">
        <v>33</v>
      </c>
      <c r="I370">
        <v>12171</v>
      </c>
      <c r="J370">
        <v>0.25</v>
      </c>
      <c r="K370">
        <v>3042.75</v>
      </c>
      <c r="L370" t="s">
        <v>20</v>
      </c>
      <c r="M370" t="s">
        <v>46</v>
      </c>
      <c r="N370" t="s">
        <v>34</v>
      </c>
    </row>
    <row r="371" spans="1:14" x14ac:dyDescent="0.3">
      <c r="A371" s="62">
        <v>45489</v>
      </c>
      <c r="B371" t="s">
        <v>71</v>
      </c>
      <c r="C371" t="s">
        <v>78</v>
      </c>
      <c r="D371" t="s">
        <v>57</v>
      </c>
      <c r="E371" t="s">
        <v>24</v>
      </c>
      <c r="F371" t="s">
        <v>41</v>
      </c>
      <c r="G371" t="s">
        <v>89</v>
      </c>
      <c r="H371" t="s">
        <v>29</v>
      </c>
      <c r="I371">
        <v>10535</v>
      </c>
      <c r="J371">
        <v>0.25</v>
      </c>
      <c r="K371">
        <v>2633.75</v>
      </c>
      <c r="L371" t="s">
        <v>20</v>
      </c>
      <c r="M371" t="s">
        <v>21</v>
      </c>
      <c r="N371" t="s">
        <v>34</v>
      </c>
    </row>
    <row r="372" spans="1:14" x14ac:dyDescent="0.3">
      <c r="A372" s="62">
        <v>45490</v>
      </c>
      <c r="B372" t="s">
        <v>71</v>
      </c>
      <c r="C372" t="s">
        <v>78</v>
      </c>
      <c r="D372" t="s">
        <v>54</v>
      </c>
      <c r="E372" t="s">
        <v>17</v>
      </c>
      <c r="F372" t="s">
        <v>25</v>
      </c>
      <c r="G372" t="s">
        <v>91</v>
      </c>
      <c r="H372" t="s">
        <v>26</v>
      </c>
      <c r="I372">
        <v>7953</v>
      </c>
      <c r="J372">
        <v>0.25</v>
      </c>
      <c r="K372">
        <v>1988.25</v>
      </c>
      <c r="L372" t="s">
        <v>20</v>
      </c>
      <c r="M372" t="s">
        <v>25</v>
      </c>
      <c r="N372" t="s">
        <v>22</v>
      </c>
    </row>
    <row r="373" spans="1:14" x14ac:dyDescent="0.3">
      <c r="A373" s="62">
        <v>45492</v>
      </c>
      <c r="B373" t="s">
        <v>71</v>
      </c>
      <c r="C373" t="s">
        <v>78</v>
      </c>
      <c r="D373" t="s">
        <v>48</v>
      </c>
      <c r="E373" t="s">
        <v>17</v>
      </c>
      <c r="F373" t="s">
        <v>41</v>
      </c>
      <c r="G373" t="s">
        <v>89</v>
      </c>
      <c r="H373" t="s">
        <v>42</v>
      </c>
      <c r="I373">
        <v>10930</v>
      </c>
      <c r="J373">
        <v>0.25</v>
      </c>
      <c r="K373">
        <v>2732.5</v>
      </c>
      <c r="L373" t="s">
        <v>27</v>
      </c>
      <c r="M373" t="s">
        <v>21</v>
      </c>
      <c r="N373" t="s">
        <v>34</v>
      </c>
    </row>
    <row r="374" spans="1:14" x14ac:dyDescent="0.3">
      <c r="A374" s="62">
        <v>45494</v>
      </c>
      <c r="B374" t="s">
        <v>71</v>
      </c>
      <c r="C374" t="s">
        <v>78</v>
      </c>
      <c r="D374" t="s">
        <v>44</v>
      </c>
      <c r="E374" t="s">
        <v>24</v>
      </c>
      <c r="F374" t="s">
        <v>32</v>
      </c>
      <c r="G374" t="s">
        <v>90</v>
      </c>
      <c r="H374" t="s">
        <v>19</v>
      </c>
      <c r="I374">
        <v>11500</v>
      </c>
      <c r="J374">
        <v>0.4</v>
      </c>
      <c r="K374">
        <v>4600</v>
      </c>
      <c r="L374" t="s">
        <v>20</v>
      </c>
      <c r="M374" t="s">
        <v>25</v>
      </c>
      <c r="N374" t="s">
        <v>22</v>
      </c>
    </row>
    <row r="375" spans="1:14" x14ac:dyDescent="0.3">
      <c r="A375" s="62">
        <v>45494</v>
      </c>
      <c r="B375" t="s">
        <v>71</v>
      </c>
      <c r="C375" t="s">
        <v>78</v>
      </c>
      <c r="D375" t="s">
        <v>62</v>
      </c>
      <c r="E375" t="s">
        <v>24</v>
      </c>
      <c r="F375" t="s">
        <v>41</v>
      </c>
      <c r="G375" t="s">
        <v>89</v>
      </c>
      <c r="H375" t="s">
        <v>29</v>
      </c>
      <c r="I375">
        <v>9291</v>
      </c>
      <c r="J375">
        <v>0.25</v>
      </c>
      <c r="K375">
        <v>2322.75</v>
      </c>
      <c r="L375" t="s">
        <v>27</v>
      </c>
      <c r="M375" t="s">
        <v>46</v>
      </c>
      <c r="N375" t="s">
        <v>22</v>
      </c>
    </row>
    <row r="376" spans="1:14" x14ac:dyDescent="0.3">
      <c r="A376" s="62">
        <v>45494</v>
      </c>
      <c r="B376" t="s">
        <v>71</v>
      </c>
      <c r="C376" t="s">
        <v>78</v>
      </c>
      <c r="D376" t="s">
        <v>58</v>
      </c>
      <c r="E376" t="s">
        <v>24</v>
      </c>
      <c r="F376" t="s">
        <v>32</v>
      </c>
      <c r="G376" t="s">
        <v>90</v>
      </c>
      <c r="H376" t="s">
        <v>33</v>
      </c>
      <c r="I376">
        <v>10444</v>
      </c>
      <c r="J376">
        <v>0.4</v>
      </c>
      <c r="K376">
        <v>4177.6000000000004</v>
      </c>
      <c r="L376" t="s">
        <v>20</v>
      </c>
      <c r="M376" t="s">
        <v>46</v>
      </c>
      <c r="N376" t="s">
        <v>22</v>
      </c>
    </row>
    <row r="377" spans="1:14" x14ac:dyDescent="0.3">
      <c r="A377" s="62">
        <v>45495</v>
      </c>
      <c r="B377" t="s">
        <v>71</v>
      </c>
      <c r="C377" t="s">
        <v>78</v>
      </c>
      <c r="D377" t="s">
        <v>55</v>
      </c>
      <c r="E377" t="s">
        <v>24</v>
      </c>
      <c r="F377" t="s">
        <v>39</v>
      </c>
      <c r="G377" t="s">
        <v>90</v>
      </c>
      <c r="H377" t="s">
        <v>42</v>
      </c>
      <c r="I377">
        <v>9128</v>
      </c>
      <c r="J377">
        <v>0.35</v>
      </c>
      <c r="K377">
        <v>3194.7999999999997</v>
      </c>
      <c r="L377" t="s">
        <v>27</v>
      </c>
      <c r="M377" t="s">
        <v>46</v>
      </c>
      <c r="N377" t="s">
        <v>37</v>
      </c>
    </row>
    <row r="378" spans="1:14" x14ac:dyDescent="0.3">
      <c r="A378" s="62">
        <v>45499</v>
      </c>
      <c r="B378" t="s">
        <v>71</v>
      </c>
      <c r="C378" t="s">
        <v>78</v>
      </c>
      <c r="D378" t="s">
        <v>16</v>
      </c>
      <c r="E378" t="s">
        <v>17</v>
      </c>
      <c r="F378" t="s">
        <v>18</v>
      </c>
      <c r="G378" t="s">
        <v>91</v>
      </c>
      <c r="H378" t="s">
        <v>29</v>
      </c>
      <c r="I378">
        <v>12227</v>
      </c>
      <c r="J378">
        <v>0.3</v>
      </c>
      <c r="K378">
        <v>3668.1</v>
      </c>
      <c r="L378" t="s">
        <v>20</v>
      </c>
      <c r="M378" t="s">
        <v>21</v>
      </c>
      <c r="N378" t="s">
        <v>37</v>
      </c>
    </row>
    <row r="379" spans="1:14" x14ac:dyDescent="0.3">
      <c r="A379" s="62">
        <v>45499</v>
      </c>
      <c r="B379" t="s">
        <v>71</v>
      </c>
      <c r="C379" t="s">
        <v>78</v>
      </c>
      <c r="D379" t="s">
        <v>44</v>
      </c>
      <c r="E379" t="s">
        <v>24</v>
      </c>
      <c r="F379" t="s">
        <v>41</v>
      </c>
      <c r="G379" t="s">
        <v>89</v>
      </c>
      <c r="H379" t="s">
        <v>19</v>
      </c>
      <c r="I379">
        <v>11606</v>
      </c>
      <c r="J379">
        <v>0.25</v>
      </c>
      <c r="K379">
        <v>2901.5</v>
      </c>
      <c r="L379" t="s">
        <v>27</v>
      </c>
      <c r="M379" t="s">
        <v>21</v>
      </c>
      <c r="N379" t="s">
        <v>22</v>
      </c>
    </row>
    <row r="380" spans="1:14" x14ac:dyDescent="0.3">
      <c r="A380" s="62">
        <v>45500</v>
      </c>
      <c r="B380" t="s">
        <v>71</v>
      </c>
      <c r="C380" t="s">
        <v>78</v>
      </c>
      <c r="D380" t="s">
        <v>44</v>
      </c>
      <c r="E380" t="s">
        <v>24</v>
      </c>
      <c r="F380" t="s">
        <v>39</v>
      </c>
      <c r="G380" t="s">
        <v>90</v>
      </c>
      <c r="H380" t="s">
        <v>19</v>
      </c>
      <c r="I380">
        <v>8223</v>
      </c>
      <c r="J380">
        <v>0.35</v>
      </c>
      <c r="K380">
        <v>2878.0499999999997</v>
      </c>
      <c r="L380" t="s">
        <v>20</v>
      </c>
      <c r="M380" t="s">
        <v>25</v>
      </c>
      <c r="N380" t="s">
        <v>30</v>
      </c>
    </row>
    <row r="381" spans="1:14" x14ac:dyDescent="0.3">
      <c r="A381" s="62">
        <v>45502</v>
      </c>
      <c r="B381" t="s">
        <v>71</v>
      </c>
      <c r="C381" t="s">
        <v>78</v>
      </c>
      <c r="D381" t="s">
        <v>50</v>
      </c>
      <c r="E381" t="s">
        <v>17</v>
      </c>
      <c r="F381" t="s">
        <v>18</v>
      </c>
      <c r="G381" t="s">
        <v>91</v>
      </c>
      <c r="H381" t="s">
        <v>33</v>
      </c>
      <c r="I381">
        <v>8418</v>
      </c>
      <c r="J381">
        <v>0.3</v>
      </c>
      <c r="K381">
        <v>2525.4</v>
      </c>
      <c r="L381" t="s">
        <v>20</v>
      </c>
      <c r="M381" t="s">
        <v>25</v>
      </c>
      <c r="N381" t="s">
        <v>22</v>
      </c>
    </row>
    <row r="382" spans="1:14" x14ac:dyDescent="0.3">
      <c r="A382" s="62">
        <v>45502</v>
      </c>
      <c r="B382" t="s">
        <v>71</v>
      </c>
      <c r="C382" t="s">
        <v>78</v>
      </c>
      <c r="D382" t="s">
        <v>36</v>
      </c>
      <c r="E382" t="s">
        <v>17</v>
      </c>
      <c r="F382" t="s">
        <v>41</v>
      </c>
      <c r="G382" t="s">
        <v>89</v>
      </c>
      <c r="H382" t="s">
        <v>26</v>
      </c>
      <c r="I382">
        <v>12124</v>
      </c>
      <c r="J382">
        <v>0.25</v>
      </c>
      <c r="K382">
        <v>3031</v>
      </c>
      <c r="L382" t="s">
        <v>20</v>
      </c>
      <c r="M382" t="s">
        <v>25</v>
      </c>
      <c r="N382" t="s">
        <v>37</v>
      </c>
    </row>
    <row r="383" spans="1:14" x14ac:dyDescent="0.3">
      <c r="A383" s="62">
        <v>45504</v>
      </c>
      <c r="B383" t="s">
        <v>71</v>
      </c>
      <c r="C383" t="s">
        <v>78</v>
      </c>
      <c r="D383" t="s">
        <v>35</v>
      </c>
      <c r="E383" t="s">
        <v>24</v>
      </c>
      <c r="F383" t="s">
        <v>39</v>
      </c>
      <c r="G383" t="s">
        <v>90</v>
      </c>
      <c r="H383" t="s">
        <v>42</v>
      </c>
      <c r="I383">
        <v>8914</v>
      </c>
      <c r="J383">
        <v>0.35</v>
      </c>
      <c r="K383">
        <v>3119.8999999999996</v>
      </c>
      <c r="L383" t="s">
        <v>20</v>
      </c>
      <c r="M383" t="s">
        <v>46</v>
      </c>
      <c r="N383" t="s">
        <v>30</v>
      </c>
    </row>
    <row r="384" spans="1:14" x14ac:dyDescent="0.3">
      <c r="A384" s="62">
        <v>45506</v>
      </c>
      <c r="B384" t="s">
        <v>72</v>
      </c>
      <c r="C384" t="s">
        <v>78</v>
      </c>
      <c r="D384" t="s">
        <v>57</v>
      </c>
      <c r="E384" t="s">
        <v>24</v>
      </c>
      <c r="F384" t="s">
        <v>41</v>
      </c>
      <c r="G384" t="s">
        <v>89</v>
      </c>
      <c r="H384" t="s">
        <v>42</v>
      </c>
      <c r="I384">
        <v>9798</v>
      </c>
      <c r="J384">
        <v>0.25</v>
      </c>
      <c r="K384">
        <v>2449.5</v>
      </c>
      <c r="L384" t="s">
        <v>27</v>
      </c>
      <c r="M384" t="s">
        <v>21</v>
      </c>
      <c r="N384" t="s">
        <v>34</v>
      </c>
    </row>
    <row r="385" spans="1:14" x14ac:dyDescent="0.3">
      <c r="A385" s="62">
        <v>45507</v>
      </c>
      <c r="B385" t="s">
        <v>72</v>
      </c>
      <c r="C385" t="s">
        <v>78</v>
      </c>
      <c r="D385" t="s">
        <v>52</v>
      </c>
      <c r="E385" t="s">
        <v>17</v>
      </c>
      <c r="F385" t="s">
        <v>18</v>
      </c>
      <c r="G385" t="s">
        <v>91</v>
      </c>
      <c r="H385" t="s">
        <v>19</v>
      </c>
      <c r="I385">
        <v>11567</v>
      </c>
      <c r="J385">
        <v>0.3</v>
      </c>
      <c r="K385">
        <v>3470.1</v>
      </c>
      <c r="L385" t="s">
        <v>27</v>
      </c>
      <c r="M385" t="s">
        <v>46</v>
      </c>
      <c r="N385" t="s">
        <v>34</v>
      </c>
    </row>
    <row r="386" spans="1:14" x14ac:dyDescent="0.3">
      <c r="A386" s="62">
        <v>45509</v>
      </c>
      <c r="B386" t="s">
        <v>72</v>
      </c>
      <c r="C386" t="s">
        <v>78</v>
      </c>
      <c r="D386" t="s">
        <v>54</v>
      </c>
      <c r="E386" t="s">
        <v>17</v>
      </c>
      <c r="F386" t="s">
        <v>32</v>
      </c>
      <c r="G386" t="s">
        <v>90</v>
      </c>
      <c r="H386" t="s">
        <v>29</v>
      </c>
      <c r="I386">
        <v>10695</v>
      </c>
      <c r="J386">
        <v>0.4</v>
      </c>
      <c r="K386">
        <v>4278</v>
      </c>
      <c r="L386" t="s">
        <v>20</v>
      </c>
      <c r="M386" t="s">
        <v>25</v>
      </c>
      <c r="N386" t="s">
        <v>30</v>
      </c>
    </row>
    <row r="387" spans="1:14" x14ac:dyDescent="0.3">
      <c r="A387" s="62">
        <v>45512</v>
      </c>
      <c r="B387" t="s">
        <v>72</v>
      </c>
      <c r="C387" t="s">
        <v>78</v>
      </c>
      <c r="D387" t="s">
        <v>51</v>
      </c>
      <c r="E387" t="s">
        <v>24</v>
      </c>
      <c r="F387" t="s">
        <v>18</v>
      </c>
      <c r="G387" t="s">
        <v>91</v>
      </c>
      <c r="H387" t="s">
        <v>29</v>
      </c>
      <c r="I387">
        <v>8172</v>
      </c>
      <c r="J387">
        <v>0.3</v>
      </c>
      <c r="K387">
        <v>2451.6</v>
      </c>
      <c r="L387" t="s">
        <v>20</v>
      </c>
      <c r="M387" t="s">
        <v>46</v>
      </c>
      <c r="N387" t="s">
        <v>37</v>
      </c>
    </row>
    <row r="388" spans="1:14" x14ac:dyDescent="0.3">
      <c r="A388" s="62">
        <v>45513</v>
      </c>
      <c r="B388" t="s">
        <v>72</v>
      </c>
      <c r="C388" t="s">
        <v>78</v>
      </c>
      <c r="D388" t="s">
        <v>36</v>
      </c>
      <c r="E388" t="s">
        <v>17</v>
      </c>
      <c r="F388" t="s">
        <v>41</v>
      </c>
      <c r="G388" t="s">
        <v>89</v>
      </c>
      <c r="H388" t="s">
        <v>29</v>
      </c>
      <c r="I388">
        <v>11861</v>
      </c>
      <c r="J388">
        <v>0.25</v>
      </c>
      <c r="K388">
        <v>2965.25</v>
      </c>
      <c r="L388" t="s">
        <v>27</v>
      </c>
      <c r="M388" t="s">
        <v>25</v>
      </c>
      <c r="N388" t="s">
        <v>22</v>
      </c>
    </row>
    <row r="389" spans="1:14" x14ac:dyDescent="0.3">
      <c r="A389" s="62">
        <v>45514</v>
      </c>
      <c r="B389" t="s">
        <v>72</v>
      </c>
      <c r="C389" t="s">
        <v>78</v>
      </c>
      <c r="D389" t="s">
        <v>63</v>
      </c>
      <c r="E389" t="s">
        <v>17</v>
      </c>
      <c r="F389" t="s">
        <v>25</v>
      </c>
      <c r="G389" t="s">
        <v>91</v>
      </c>
      <c r="H389" t="s">
        <v>33</v>
      </c>
      <c r="I389">
        <v>9891</v>
      </c>
      <c r="J389">
        <v>0.25</v>
      </c>
      <c r="K389">
        <v>2472.75</v>
      </c>
      <c r="L389" t="s">
        <v>20</v>
      </c>
      <c r="M389" t="s">
        <v>25</v>
      </c>
      <c r="N389" t="s">
        <v>34</v>
      </c>
    </row>
    <row r="390" spans="1:14" x14ac:dyDescent="0.3">
      <c r="A390" s="62">
        <v>45514</v>
      </c>
      <c r="B390" t="s">
        <v>72</v>
      </c>
      <c r="C390" t="s">
        <v>78</v>
      </c>
      <c r="D390" t="s">
        <v>38</v>
      </c>
      <c r="E390" t="s">
        <v>24</v>
      </c>
      <c r="F390" t="s">
        <v>39</v>
      </c>
      <c r="G390" t="s">
        <v>90</v>
      </c>
      <c r="H390" t="s">
        <v>42</v>
      </c>
      <c r="I390">
        <v>8926</v>
      </c>
      <c r="J390">
        <v>0.35</v>
      </c>
      <c r="K390">
        <v>3124.1</v>
      </c>
      <c r="L390" t="s">
        <v>27</v>
      </c>
      <c r="M390" t="s">
        <v>25</v>
      </c>
      <c r="N390" t="s">
        <v>30</v>
      </c>
    </row>
    <row r="391" spans="1:14" x14ac:dyDescent="0.3">
      <c r="A391" s="62">
        <v>45516</v>
      </c>
      <c r="B391" t="s">
        <v>72</v>
      </c>
      <c r="C391" t="s">
        <v>78</v>
      </c>
      <c r="D391" t="s">
        <v>62</v>
      </c>
      <c r="E391" t="s">
        <v>24</v>
      </c>
      <c r="F391" t="s">
        <v>25</v>
      </c>
      <c r="G391" t="s">
        <v>91</v>
      </c>
      <c r="H391" t="s">
        <v>42</v>
      </c>
      <c r="I391">
        <v>8360</v>
      </c>
      <c r="J391">
        <v>0.25</v>
      </c>
      <c r="K391">
        <v>2090</v>
      </c>
      <c r="L391" t="s">
        <v>27</v>
      </c>
      <c r="M391" t="s">
        <v>25</v>
      </c>
      <c r="N391" t="s">
        <v>22</v>
      </c>
    </row>
    <row r="392" spans="1:14" x14ac:dyDescent="0.3">
      <c r="A392" s="62">
        <v>45517</v>
      </c>
      <c r="B392" t="s">
        <v>72</v>
      </c>
      <c r="C392" t="s">
        <v>78</v>
      </c>
      <c r="D392" t="s">
        <v>36</v>
      </c>
      <c r="E392" t="s">
        <v>17</v>
      </c>
      <c r="F392" t="s">
        <v>39</v>
      </c>
      <c r="G392" t="s">
        <v>90</v>
      </c>
      <c r="H392" t="s">
        <v>29</v>
      </c>
      <c r="I392">
        <v>11824</v>
      </c>
      <c r="J392">
        <v>0.35</v>
      </c>
      <c r="K392">
        <v>4138.3999999999996</v>
      </c>
      <c r="L392" t="s">
        <v>27</v>
      </c>
      <c r="M392" t="s">
        <v>46</v>
      </c>
      <c r="N392" t="s">
        <v>30</v>
      </c>
    </row>
    <row r="393" spans="1:14" x14ac:dyDescent="0.3">
      <c r="A393" s="62">
        <v>45519</v>
      </c>
      <c r="B393" t="s">
        <v>72</v>
      </c>
      <c r="C393" t="s">
        <v>78</v>
      </c>
      <c r="D393" t="s">
        <v>63</v>
      </c>
      <c r="E393" t="s">
        <v>17</v>
      </c>
      <c r="F393" t="s">
        <v>41</v>
      </c>
      <c r="G393" t="s">
        <v>89</v>
      </c>
      <c r="H393" t="s">
        <v>19</v>
      </c>
      <c r="I393">
        <v>8742</v>
      </c>
      <c r="J393">
        <v>0.25</v>
      </c>
      <c r="K393">
        <v>2185.5</v>
      </c>
      <c r="L393" t="s">
        <v>20</v>
      </c>
      <c r="M393" t="s">
        <v>21</v>
      </c>
      <c r="N393" t="s">
        <v>37</v>
      </c>
    </row>
    <row r="394" spans="1:14" x14ac:dyDescent="0.3">
      <c r="A394" s="62">
        <v>45521</v>
      </c>
      <c r="B394" t="s">
        <v>72</v>
      </c>
      <c r="C394" t="s">
        <v>78</v>
      </c>
      <c r="D394" t="s">
        <v>36</v>
      </c>
      <c r="E394" t="s">
        <v>17</v>
      </c>
      <c r="F394" t="s">
        <v>39</v>
      </c>
      <c r="G394" t="s">
        <v>90</v>
      </c>
      <c r="H394" t="s">
        <v>19</v>
      </c>
      <c r="I394">
        <v>10770</v>
      </c>
      <c r="J394">
        <v>0.35</v>
      </c>
      <c r="K394">
        <v>3769.4999999999995</v>
      </c>
      <c r="L394" t="s">
        <v>20</v>
      </c>
      <c r="M394" t="s">
        <v>21</v>
      </c>
      <c r="N394" t="s">
        <v>22</v>
      </c>
    </row>
    <row r="395" spans="1:14" x14ac:dyDescent="0.3">
      <c r="A395" s="62">
        <v>45522</v>
      </c>
      <c r="B395" t="s">
        <v>72</v>
      </c>
      <c r="C395" t="s">
        <v>78</v>
      </c>
      <c r="D395" t="s">
        <v>66</v>
      </c>
      <c r="E395" t="s">
        <v>24</v>
      </c>
      <c r="F395" t="s">
        <v>41</v>
      </c>
      <c r="G395" t="s">
        <v>89</v>
      </c>
      <c r="H395" t="s">
        <v>19</v>
      </c>
      <c r="I395">
        <v>9302</v>
      </c>
      <c r="J395">
        <v>0.25</v>
      </c>
      <c r="K395">
        <v>2325.5</v>
      </c>
      <c r="L395" t="s">
        <v>20</v>
      </c>
      <c r="M395" t="s">
        <v>25</v>
      </c>
      <c r="N395" t="s">
        <v>37</v>
      </c>
    </row>
    <row r="396" spans="1:14" x14ac:dyDescent="0.3">
      <c r="A396" s="62">
        <v>45523</v>
      </c>
      <c r="B396" t="s">
        <v>72</v>
      </c>
      <c r="C396" t="s">
        <v>78</v>
      </c>
      <c r="D396" t="s">
        <v>44</v>
      </c>
      <c r="E396" t="s">
        <v>24</v>
      </c>
      <c r="F396" t="s">
        <v>25</v>
      </c>
      <c r="G396" t="s">
        <v>91</v>
      </c>
      <c r="H396" t="s">
        <v>33</v>
      </c>
      <c r="I396">
        <v>12168</v>
      </c>
      <c r="J396">
        <v>0.25</v>
      </c>
      <c r="K396">
        <v>3042</v>
      </c>
      <c r="L396" t="s">
        <v>20</v>
      </c>
      <c r="M396" t="s">
        <v>46</v>
      </c>
      <c r="N396" t="s">
        <v>34</v>
      </c>
    </row>
    <row r="397" spans="1:14" x14ac:dyDescent="0.3">
      <c r="A397" s="62">
        <v>45524</v>
      </c>
      <c r="B397" t="s">
        <v>72</v>
      </c>
      <c r="C397" t="s">
        <v>78</v>
      </c>
      <c r="D397" t="s">
        <v>51</v>
      </c>
      <c r="E397" t="s">
        <v>24</v>
      </c>
      <c r="F397" t="s">
        <v>25</v>
      </c>
      <c r="G397" t="s">
        <v>91</v>
      </c>
      <c r="H397" t="s">
        <v>29</v>
      </c>
      <c r="I397">
        <v>10185</v>
      </c>
      <c r="J397">
        <v>0.25</v>
      </c>
      <c r="K397">
        <v>2546.25</v>
      </c>
      <c r="L397" t="s">
        <v>20</v>
      </c>
      <c r="M397" t="s">
        <v>46</v>
      </c>
      <c r="N397" t="s">
        <v>34</v>
      </c>
    </row>
    <row r="398" spans="1:14" x14ac:dyDescent="0.3">
      <c r="A398" s="62">
        <v>45529</v>
      </c>
      <c r="B398" t="s">
        <v>72</v>
      </c>
      <c r="C398" t="s">
        <v>78</v>
      </c>
      <c r="D398" t="s">
        <v>31</v>
      </c>
      <c r="E398" t="s">
        <v>24</v>
      </c>
      <c r="F398" t="s">
        <v>41</v>
      </c>
      <c r="G398" t="s">
        <v>89</v>
      </c>
      <c r="H398" t="s">
        <v>29</v>
      </c>
      <c r="I398">
        <v>8728</v>
      </c>
      <c r="J398">
        <v>0.25</v>
      </c>
      <c r="K398">
        <v>2182</v>
      </c>
      <c r="L398" t="s">
        <v>27</v>
      </c>
      <c r="M398" t="s">
        <v>25</v>
      </c>
      <c r="N398" t="s">
        <v>30</v>
      </c>
    </row>
    <row r="399" spans="1:14" x14ac:dyDescent="0.3">
      <c r="A399" s="62">
        <v>45530</v>
      </c>
      <c r="B399" t="s">
        <v>72</v>
      </c>
      <c r="C399" t="s">
        <v>78</v>
      </c>
      <c r="D399" t="s">
        <v>55</v>
      </c>
      <c r="E399" t="s">
        <v>24</v>
      </c>
      <c r="F399" t="s">
        <v>41</v>
      </c>
      <c r="G399" t="s">
        <v>89</v>
      </c>
      <c r="H399" t="s">
        <v>29</v>
      </c>
      <c r="I399">
        <v>7600</v>
      </c>
      <c r="J399">
        <v>0.25</v>
      </c>
      <c r="K399">
        <v>1900</v>
      </c>
      <c r="L399" t="s">
        <v>20</v>
      </c>
      <c r="M399" t="s">
        <v>46</v>
      </c>
      <c r="N399" t="s">
        <v>22</v>
      </c>
    </row>
    <row r="400" spans="1:14" x14ac:dyDescent="0.3">
      <c r="A400" s="62">
        <v>45531</v>
      </c>
      <c r="B400" t="s">
        <v>72</v>
      </c>
      <c r="C400" t="s">
        <v>78</v>
      </c>
      <c r="D400" t="s">
        <v>52</v>
      </c>
      <c r="E400" t="s">
        <v>17</v>
      </c>
      <c r="F400" t="s">
        <v>25</v>
      </c>
      <c r="G400" t="s">
        <v>91</v>
      </c>
      <c r="H400" t="s">
        <v>29</v>
      </c>
      <c r="I400">
        <v>11230</v>
      </c>
      <c r="J400">
        <v>0.25</v>
      </c>
      <c r="K400">
        <v>2807.5</v>
      </c>
      <c r="L400" t="s">
        <v>20</v>
      </c>
      <c r="M400" t="s">
        <v>21</v>
      </c>
      <c r="N400" t="s">
        <v>34</v>
      </c>
    </row>
    <row r="401" spans="1:14" x14ac:dyDescent="0.3">
      <c r="A401" s="62">
        <v>45532</v>
      </c>
      <c r="B401" t="s">
        <v>72</v>
      </c>
      <c r="C401" t="s">
        <v>78</v>
      </c>
      <c r="D401" t="s">
        <v>63</v>
      </c>
      <c r="E401" t="s">
        <v>17</v>
      </c>
      <c r="F401" t="s">
        <v>32</v>
      </c>
      <c r="G401" t="s">
        <v>90</v>
      </c>
      <c r="H401" t="s">
        <v>29</v>
      </c>
      <c r="I401">
        <v>10417</v>
      </c>
      <c r="J401">
        <v>0.4</v>
      </c>
      <c r="K401">
        <v>4166.8</v>
      </c>
      <c r="L401" t="s">
        <v>20</v>
      </c>
      <c r="M401" t="s">
        <v>21</v>
      </c>
      <c r="N401" t="s">
        <v>30</v>
      </c>
    </row>
    <row r="402" spans="1:14" x14ac:dyDescent="0.3">
      <c r="A402" s="62">
        <v>45533</v>
      </c>
      <c r="B402" t="s">
        <v>72</v>
      </c>
      <c r="C402" t="s">
        <v>78</v>
      </c>
      <c r="D402" t="s">
        <v>36</v>
      </c>
      <c r="E402" t="s">
        <v>17</v>
      </c>
      <c r="F402" t="s">
        <v>41</v>
      </c>
      <c r="G402" t="s">
        <v>89</v>
      </c>
      <c r="H402" t="s">
        <v>42</v>
      </c>
      <c r="I402">
        <v>12228</v>
      </c>
      <c r="J402">
        <v>0.25</v>
      </c>
      <c r="K402">
        <v>3057</v>
      </c>
      <c r="L402" t="s">
        <v>20</v>
      </c>
      <c r="M402" t="s">
        <v>46</v>
      </c>
      <c r="N402" t="s">
        <v>22</v>
      </c>
    </row>
    <row r="403" spans="1:14" x14ac:dyDescent="0.3">
      <c r="A403" s="62">
        <v>45534</v>
      </c>
      <c r="B403" t="s">
        <v>72</v>
      </c>
      <c r="C403" t="s">
        <v>78</v>
      </c>
      <c r="D403" t="s">
        <v>43</v>
      </c>
      <c r="E403" t="s">
        <v>24</v>
      </c>
      <c r="F403" t="s">
        <v>39</v>
      </c>
      <c r="G403" t="s">
        <v>90</v>
      </c>
      <c r="H403" t="s">
        <v>19</v>
      </c>
      <c r="I403">
        <v>7994</v>
      </c>
      <c r="J403">
        <v>0.35</v>
      </c>
      <c r="K403">
        <v>2797.8999999999996</v>
      </c>
      <c r="L403" t="s">
        <v>27</v>
      </c>
      <c r="M403" t="s">
        <v>25</v>
      </c>
      <c r="N403" t="s">
        <v>30</v>
      </c>
    </row>
    <row r="404" spans="1:14" x14ac:dyDescent="0.3">
      <c r="A404" s="62">
        <v>45536</v>
      </c>
      <c r="B404" t="s">
        <v>74</v>
      </c>
      <c r="C404" t="s">
        <v>78</v>
      </c>
      <c r="D404" t="s">
        <v>56</v>
      </c>
      <c r="E404" t="s">
        <v>17</v>
      </c>
      <c r="F404" t="s">
        <v>39</v>
      </c>
      <c r="G404" t="s">
        <v>90</v>
      </c>
      <c r="H404" t="s">
        <v>19</v>
      </c>
      <c r="I404">
        <v>7821</v>
      </c>
      <c r="J404">
        <v>0.35</v>
      </c>
      <c r="K404">
        <v>2737.35</v>
      </c>
      <c r="L404" t="s">
        <v>27</v>
      </c>
      <c r="M404" t="s">
        <v>46</v>
      </c>
      <c r="N404" t="s">
        <v>34</v>
      </c>
    </row>
    <row r="405" spans="1:14" x14ac:dyDescent="0.3">
      <c r="A405" s="62">
        <v>45536</v>
      </c>
      <c r="B405" t="s">
        <v>74</v>
      </c>
      <c r="C405" t="s">
        <v>78</v>
      </c>
      <c r="D405" t="s">
        <v>48</v>
      </c>
      <c r="E405" t="s">
        <v>17</v>
      </c>
      <c r="F405" t="s">
        <v>25</v>
      </c>
      <c r="G405" t="s">
        <v>91</v>
      </c>
      <c r="H405" t="s">
        <v>29</v>
      </c>
      <c r="I405">
        <v>8307</v>
      </c>
      <c r="J405">
        <v>0.25</v>
      </c>
      <c r="K405">
        <v>2076.75</v>
      </c>
      <c r="L405" t="s">
        <v>20</v>
      </c>
      <c r="M405" t="s">
        <v>25</v>
      </c>
      <c r="N405" t="s">
        <v>22</v>
      </c>
    </row>
    <row r="406" spans="1:14" x14ac:dyDescent="0.3">
      <c r="A406" s="62">
        <v>45536</v>
      </c>
      <c r="B406" t="s">
        <v>74</v>
      </c>
      <c r="C406" t="s">
        <v>78</v>
      </c>
      <c r="D406" t="s">
        <v>58</v>
      </c>
      <c r="E406" t="s">
        <v>24</v>
      </c>
      <c r="F406" t="s">
        <v>25</v>
      </c>
      <c r="G406" t="s">
        <v>91</v>
      </c>
      <c r="H406" t="s">
        <v>26</v>
      </c>
      <c r="I406">
        <v>12123</v>
      </c>
      <c r="J406">
        <v>0.25</v>
      </c>
      <c r="K406">
        <v>3030.75</v>
      </c>
      <c r="L406" t="s">
        <v>27</v>
      </c>
      <c r="M406" t="s">
        <v>21</v>
      </c>
      <c r="N406" t="s">
        <v>37</v>
      </c>
    </row>
    <row r="407" spans="1:14" x14ac:dyDescent="0.3">
      <c r="A407" s="62">
        <v>45537</v>
      </c>
      <c r="B407" t="s">
        <v>74</v>
      </c>
      <c r="C407" t="s">
        <v>78</v>
      </c>
      <c r="D407" t="s">
        <v>45</v>
      </c>
      <c r="E407" t="s">
        <v>17</v>
      </c>
      <c r="F407" t="s">
        <v>41</v>
      </c>
      <c r="G407" t="s">
        <v>89</v>
      </c>
      <c r="H407" t="s">
        <v>33</v>
      </c>
      <c r="I407">
        <v>9011</v>
      </c>
      <c r="J407">
        <v>0.25</v>
      </c>
      <c r="K407">
        <v>2252.75</v>
      </c>
      <c r="L407" t="s">
        <v>27</v>
      </c>
      <c r="M407" t="s">
        <v>46</v>
      </c>
      <c r="N407" t="s">
        <v>30</v>
      </c>
    </row>
    <row r="408" spans="1:14" x14ac:dyDescent="0.3">
      <c r="A408" s="62">
        <v>45537</v>
      </c>
      <c r="B408" t="s">
        <v>74</v>
      </c>
      <c r="C408" t="s">
        <v>78</v>
      </c>
      <c r="D408" t="s">
        <v>44</v>
      </c>
      <c r="E408" t="s">
        <v>24</v>
      </c>
      <c r="F408" t="s">
        <v>32</v>
      </c>
      <c r="G408" t="s">
        <v>90</v>
      </c>
      <c r="H408" t="s">
        <v>33</v>
      </c>
      <c r="I408">
        <v>7838</v>
      </c>
      <c r="J408">
        <v>0.4</v>
      </c>
      <c r="K408">
        <v>3135.2000000000003</v>
      </c>
      <c r="L408" t="s">
        <v>20</v>
      </c>
      <c r="M408" t="s">
        <v>46</v>
      </c>
      <c r="N408" t="s">
        <v>22</v>
      </c>
    </row>
    <row r="409" spans="1:14" x14ac:dyDescent="0.3">
      <c r="A409" s="62">
        <v>45539</v>
      </c>
      <c r="B409" t="s">
        <v>74</v>
      </c>
      <c r="C409" t="s">
        <v>78</v>
      </c>
      <c r="D409" t="s">
        <v>50</v>
      </c>
      <c r="E409" t="s">
        <v>17</v>
      </c>
      <c r="F409" t="s">
        <v>41</v>
      </c>
      <c r="G409" t="s">
        <v>89</v>
      </c>
      <c r="H409" t="s">
        <v>29</v>
      </c>
      <c r="I409">
        <v>8749</v>
      </c>
      <c r="J409">
        <v>0.25</v>
      </c>
      <c r="K409">
        <v>2187.25</v>
      </c>
      <c r="L409" t="s">
        <v>27</v>
      </c>
      <c r="M409" t="s">
        <v>25</v>
      </c>
      <c r="N409" t="s">
        <v>37</v>
      </c>
    </row>
    <row r="410" spans="1:14" x14ac:dyDescent="0.3">
      <c r="A410" s="62">
        <v>45540</v>
      </c>
      <c r="B410" t="s">
        <v>74</v>
      </c>
      <c r="C410" t="s">
        <v>78</v>
      </c>
      <c r="D410" t="s">
        <v>62</v>
      </c>
      <c r="E410" t="s">
        <v>24</v>
      </c>
      <c r="F410" t="s">
        <v>18</v>
      </c>
      <c r="G410" t="s">
        <v>91</v>
      </c>
      <c r="H410" t="s">
        <v>33</v>
      </c>
      <c r="I410">
        <v>10186</v>
      </c>
      <c r="J410">
        <v>0.3</v>
      </c>
      <c r="K410">
        <v>3055.7999999999997</v>
      </c>
      <c r="L410" t="s">
        <v>27</v>
      </c>
      <c r="M410" t="s">
        <v>46</v>
      </c>
      <c r="N410" t="s">
        <v>37</v>
      </c>
    </row>
    <row r="411" spans="1:14" x14ac:dyDescent="0.3">
      <c r="A411" s="62">
        <v>45542</v>
      </c>
      <c r="B411" t="s">
        <v>74</v>
      </c>
      <c r="C411" t="s">
        <v>78</v>
      </c>
      <c r="D411" t="s">
        <v>56</v>
      </c>
      <c r="E411" t="s">
        <v>17</v>
      </c>
      <c r="F411" t="s">
        <v>41</v>
      </c>
      <c r="G411" t="s">
        <v>89</v>
      </c>
      <c r="H411" t="s">
        <v>42</v>
      </c>
      <c r="I411">
        <v>10716</v>
      </c>
      <c r="J411">
        <v>0.25</v>
      </c>
      <c r="K411">
        <v>2679</v>
      </c>
      <c r="L411" t="s">
        <v>20</v>
      </c>
      <c r="M411" t="s">
        <v>25</v>
      </c>
      <c r="N411" t="s">
        <v>30</v>
      </c>
    </row>
    <row r="412" spans="1:14" x14ac:dyDescent="0.3">
      <c r="A412" s="62">
        <v>45543</v>
      </c>
      <c r="B412" t="s">
        <v>74</v>
      </c>
      <c r="C412" t="s">
        <v>78</v>
      </c>
      <c r="D412" t="s">
        <v>79</v>
      </c>
      <c r="E412" t="s">
        <v>24</v>
      </c>
      <c r="F412" t="s">
        <v>39</v>
      </c>
      <c r="G412" t="s">
        <v>90</v>
      </c>
      <c r="H412" t="s">
        <v>19</v>
      </c>
      <c r="I412">
        <v>7772</v>
      </c>
      <c r="J412">
        <v>0.35</v>
      </c>
      <c r="K412">
        <v>2720.2</v>
      </c>
      <c r="L412" t="s">
        <v>20</v>
      </c>
      <c r="M412" t="s">
        <v>25</v>
      </c>
      <c r="N412" t="s">
        <v>34</v>
      </c>
    </row>
    <row r="413" spans="1:14" x14ac:dyDescent="0.3">
      <c r="A413" s="62">
        <v>45543</v>
      </c>
      <c r="B413" t="s">
        <v>74</v>
      </c>
      <c r="C413" t="s">
        <v>78</v>
      </c>
      <c r="D413" t="s">
        <v>57</v>
      </c>
      <c r="E413" t="s">
        <v>24</v>
      </c>
      <c r="F413" t="s">
        <v>18</v>
      </c>
      <c r="G413" t="s">
        <v>91</v>
      </c>
      <c r="H413" t="s">
        <v>33</v>
      </c>
      <c r="I413">
        <v>10727</v>
      </c>
      <c r="J413">
        <v>0.3</v>
      </c>
      <c r="K413">
        <v>3218.1</v>
      </c>
      <c r="L413" t="s">
        <v>20</v>
      </c>
      <c r="M413" t="s">
        <v>25</v>
      </c>
      <c r="N413" t="s">
        <v>34</v>
      </c>
    </row>
    <row r="414" spans="1:14" x14ac:dyDescent="0.3">
      <c r="A414" s="62">
        <v>45544</v>
      </c>
      <c r="B414" t="s">
        <v>74</v>
      </c>
      <c r="C414" t="s">
        <v>78</v>
      </c>
      <c r="D414" t="s">
        <v>45</v>
      </c>
      <c r="E414" t="s">
        <v>17</v>
      </c>
      <c r="F414" t="s">
        <v>18</v>
      </c>
      <c r="G414" t="s">
        <v>91</v>
      </c>
      <c r="H414" t="s">
        <v>33</v>
      </c>
      <c r="I414">
        <v>9692</v>
      </c>
      <c r="J414">
        <v>0.3</v>
      </c>
      <c r="K414">
        <v>2907.6</v>
      </c>
      <c r="L414" t="s">
        <v>27</v>
      </c>
      <c r="M414" t="s">
        <v>21</v>
      </c>
      <c r="N414" t="s">
        <v>37</v>
      </c>
    </row>
    <row r="415" spans="1:14" x14ac:dyDescent="0.3">
      <c r="A415" s="62">
        <v>45544</v>
      </c>
      <c r="B415" t="s">
        <v>74</v>
      </c>
      <c r="C415" t="s">
        <v>78</v>
      </c>
      <c r="D415" t="s">
        <v>31</v>
      </c>
      <c r="E415" t="s">
        <v>24</v>
      </c>
      <c r="F415" t="s">
        <v>25</v>
      </c>
      <c r="G415" t="s">
        <v>91</v>
      </c>
      <c r="H415" t="s">
        <v>26</v>
      </c>
      <c r="I415">
        <v>7719</v>
      </c>
      <c r="J415">
        <v>0.25</v>
      </c>
      <c r="K415">
        <v>1929.75</v>
      </c>
      <c r="L415" t="s">
        <v>20</v>
      </c>
      <c r="M415" t="s">
        <v>21</v>
      </c>
      <c r="N415" t="s">
        <v>37</v>
      </c>
    </row>
    <row r="416" spans="1:14" x14ac:dyDescent="0.3">
      <c r="A416" s="62">
        <v>45546</v>
      </c>
      <c r="B416" t="s">
        <v>74</v>
      </c>
      <c r="C416" t="s">
        <v>78</v>
      </c>
      <c r="D416" t="s">
        <v>66</v>
      </c>
      <c r="E416" t="s">
        <v>24</v>
      </c>
      <c r="F416" t="s">
        <v>32</v>
      </c>
      <c r="G416" t="s">
        <v>90</v>
      </c>
      <c r="H416" t="s">
        <v>29</v>
      </c>
      <c r="I416">
        <v>10696</v>
      </c>
      <c r="J416">
        <v>0.4</v>
      </c>
      <c r="K416">
        <v>4278.4000000000005</v>
      </c>
      <c r="L416" t="s">
        <v>27</v>
      </c>
      <c r="M416" t="s">
        <v>21</v>
      </c>
      <c r="N416" t="s">
        <v>22</v>
      </c>
    </row>
    <row r="417" spans="1:14" x14ac:dyDescent="0.3">
      <c r="A417" s="62">
        <v>45552</v>
      </c>
      <c r="B417" t="s">
        <v>74</v>
      </c>
      <c r="C417" t="s">
        <v>78</v>
      </c>
      <c r="D417" t="s">
        <v>45</v>
      </c>
      <c r="E417" t="s">
        <v>17</v>
      </c>
      <c r="F417" t="s">
        <v>39</v>
      </c>
      <c r="G417" t="s">
        <v>90</v>
      </c>
      <c r="H417" t="s">
        <v>42</v>
      </c>
      <c r="I417">
        <v>8937</v>
      </c>
      <c r="J417">
        <v>0.35</v>
      </c>
      <c r="K417">
        <v>3127.95</v>
      </c>
      <c r="L417" t="s">
        <v>20</v>
      </c>
      <c r="M417" t="s">
        <v>21</v>
      </c>
      <c r="N417" t="s">
        <v>30</v>
      </c>
    </row>
    <row r="418" spans="1:14" x14ac:dyDescent="0.3">
      <c r="A418" s="62">
        <v>45556</v>
      </c>
      <c r="B418" t="s">
        <v>74</v>
      </c>
      <c r="C418" t="s">
        <v>78</v>
      </c>
      <c r="D418" t="s">
        <v>51</v>
      </c>
      <c r="E418" t="s">
        <v>24</v>
      </c>
      <c r="F418" t="s">
        <v>41</v>
      </c>
      <c r="G418" t="s">
        <v>89</v>
      </c>
      <c r="H418" t="s">
        <v>26</v>
      </c>
      <c r="I418">
        <v>8073</v>
      </c>
      <c r="J418">
        <v>0.25</v>
      </c>
      <c r="K418">
        <v>2018.25</v>
      </c>
      <c r="L418" t="s">
        <v>27</v>
      </c>
      <c r="M418" t="s">
        <v>21</v>
      </c>
      <c r="N418" t="s">
        <v>37</v>
      </c>
    </row>
    <row r="419" spans="1:14" x14ac:dyDescent="0.3">
      <c r="A419" s="62">
        <v>45558</v>
      </c>
      <c r="B419" t="s">
        <v>74</v>
      </c>
      <c r="C419" t="s">
        <v>78</v>
      </c>
      <c r="D419" t="s">
        <v>79</v>
      </c>
      <c r="E419" t="s">
        <v>24</v>
      </c>
      <c r="F419" t="s">
        <v>41</v>
      </c>
      <c r="G419" t="s">
        <v>89</v>
      </c>
      <c r="H419" t="s">
        <v>42</v>
      </c>
      <c r="I419">
        <v>8022</v>
      </c>
      <c r="J419">
        <v>0.25</v>
      </c>
      <c r="K419">
        <v>2005.5</v>
      </c>
      <c r="L419" t="s">
        <v>20</v>
      </c>
      <c r="M419" t="s">
        <v>25</v>
      </c>
      <c r="N419" t="s">
        <v>34</v>
      </c>
    </row>
    <row r="420" spans="1:14" x14ac:dyDescent="0.3">
      <c r="A420" s="62">
        <v>45562</v>
      </c>
      <c r="B420" t="s">
        <v>74</v>
      </c>
      <c r="C420" t="s">
        <v>78</v>
      </c>
      <c r="D420" t="s">
        <v>64</v>
      </c>
      <c r="E420" t="s">
        <v>17</v>
      </c>
      <c r="F420" t="s">
        <v>25</v>
      </c>
      <c r="G420" t="s">
        <v>91</v>
      </c>
      <c r="H420" t="s">
        <v>29</v>
      </c>
      <c r="I420">
        <v>8595</v>
      </c>
      <c r="J420">
        <v>0.25</v>
      </c>
      <c r="K420">
        <v>2148.75</v>
      </c>
      <c r="L420" t="s">
        <v>20</v>
      </c>
      <c r="M420" t="s">
        <v>21</v>
      </c>
      <c r="N420" t="s">
        <v>30</v>
      </c>
    </row>
    <row r="421" spans="1:14" x14ac:dyDescent="0.3">
      <c r="A421" s="62">
        <v>45562</v>
      </c>
      <c r="B421" t="s">
        <v>74</v>
      </c>
      <c r="C421" t="s">
        <v>78</v>
      </c>
      <c r="D421" t="s">
        <v>58</v>
      </c>
      <c r="E421" t="s">
        <v>24</v>
      </c>
      <c r="F421" t="s">
        <v>32</v>
      </c>
      <c r="G421" t="s">
        <v>90</v>
      </c>
      <c r="H421" t="s">
        <v>29</v>
      </c>
      <c r="I421">
        <v>11394</v>
      </c>
      <c r="J421">
        <v>0.4</v>
      </c>
      <c r="K421">
        <v>4557.6000000000004</v>
      </c>
      <c r="L421" t="s">
        <v>20</v>
      </c>
      <c r="M421" t="s">
        <v>46</v>
      </c>
      <c r="N421" t="s">
        <v>30</v>
      </c>
    </row>
    <row r="422" spans="1:14" x14ac:dyDescent="0.3">
      <c r="A422" s="62">
        <v>45563</v>
      </c>
      <c r="B422" t="s">
        <v>74</v>
      </c>
      <c r="C422" t="s">
        <v>78</v>
      </c>
      <c r="D422" t="s">
        <v>52</v>
      </c>
      <c r="E422" t="s">
        <v>17</v>
      </c>
      <c r="F422" t="s">
        <v>41</v>
      </c>
      <c r="G422" t="s">
        <v>89</v>
      </c>
      <c r="H422" t="s">
        <v>42</v>
      </c>
      <c r="I422">
        <v>10952</v>
      </c>
      <c r="J422">
        <v>0.25</v>
      </c>
      <c r="K422">
        <v>2738</v>
      </c>
      <c r="L422" t="s">
        <v>20</v>
      </c>
      <c r="M422" t="s">
        <v>46</v>
      </c>
      <c r="N422" t="s">
        <v>22</v>
      </c>
    </row>
    <row r="423" spans="1:14" x14ac:dyDescent="0.3">
      <c r="A423" s="62">
        <v>45564</v>
      </c>
      <c r="B423" t="s">
        <v>74</v>
      </c>
      <c r="C423" t="s">
        <v>78</v>
      </c>
      <c r="D423" t="s">
        <v>50</v>
      </c>
      <c r="E423" t="s">
        <v>17</v>
      </c>
      <c r="F423" t="s">
        <v>39</v>
      </c>
      <c r="G423" t="s">
        <v>90</v>
      </c>
      <c r="H423" t="s">
        <v>26</v>
      </c>
      <c r="I423">
        <v>10647</v>
      </c>
      <c r="J423">
        <v>0.35</v>
      </c>
      <c r="K423">
        <v>3726.45</v>
      </c>
      <c r="L423" t="s">
        <v>27</v>
      </c>
      <c r="M423" t="s">
        <v>21</v>
      </c>
      <c r="N423" t="s">
        <v>34</v>
      </c>
    </row>
    <row r="424" spans="1:14" x14ac:dyDescent="0.3">
      <c r="A424" s="62">
        <v>45567</v>
      </c>
      <c r="B424" t="s">
        <v>75</v>
      </c>
      <c r="C424" t="s">
        <v>78</v>
      </c>
      <c r="D424" t="s">
        <v>36</v>
      </c>
      <c r="E424" t="s">
        <v>17</v>
      </c>
      <c r="F424" t="s">
        <v>39</v>
      </c>
      <c r="G424" t="s">
        <v>90</v>
      </c>
      <c r="H424" t="s">
        <v>29</v>
      </c>
      <c r="I424">
        <v>12237</v>
      </c>
      <c r="J424">
        <v>0.35</v>
      </c>
      <c r="K424">
        <v>4282.95</v>
      </c>
      <c r="L424" t="s">
        <v>27</v>
      </c>
      <c r="M424" t="s">
        <v>46</v>
      </c>
      <c r="N424" t="s">
        <v>34</v>
      </c>
    </row>
    <row r="425" spans="1:14" x14ac:dyDescent="0.3">
      <c r="A425" s="62">
        <v>45570</v>
      </c>
      <c r="B425" t="s">
        <v>75</v>
      </c>
      <c r="C425" t="s">
        <v>78</v>
      </c>
      <c r="D425" t="s">
        <v>70</v>
      </c>
      <c r="E425" t="s">
        <v>24</v>
      </c>
      <c r="F425" t="s">
        <v>32</v>
      </c>
      <c r="G425" t="s">
        <v>90</v>
      </c>
      <c r="H425" t="s">
        <v>29</v>
      </c>
      <c r="I425">
        <v>7697</v>
      </c>
      <c r="J425">
        <v>0.4</v>
      </c>
      <c r="K425">
        <v>3078.8</v>
      </c>
      <c r="L425" t="s">
        <v>20</v>
      </c>
      <c r="M425" t="s">
        <v>21</v>
      </c>
      <c r="N425" t="s">
        <v>34</v>
      </c>
    </row>
    <row r="426" spans="1:14" x14ac:dyDescent="0.3">
      <c r="A426" s="62">
        <v>45573</v>
      </c>
      <c r="B426" t="s">
        <v>75</v>
      </c>
      <c r="C426" t="s">
        <v>78</v>
      </c>
      <c r="D426" t="s">
        <v>40</v>
      </c>
      <c r="E426" t="s">
        <v>17</v>
      </c>
      <c r="F426" t="s">
        <v>39</v>
      </c>
      <c r="G426" t="s">
        <v>90</v>
      </c>
      <c r="H426" t="s">
        <v>19</v>
      </c>
      <c r="I426">
        <v>10561</v>
      </c>
      <c r="J426">
        <v>0.35</v>
      </c>
      <c r="K426">
        <v>3696.35</v>
      </c>
      <c r="L426" t="s">
        <v>27</v>
      </c>
      <c r="M426" t="s">
        <v>46</v>
      </c>
      <c r="N426" t="s">
        <v>34</v>
      </c>
    </row>
    <row r="427" spans="1:14" x14ac:dyDescent="0.3">
      <c r="A427" s="62">
        <v>45574</v>
      </c>
      <c r="B427" t="s">
        <v>75</v>
      </c>
      <c r="C427" t="s">
        <v>78</v>
      </c>
      <c r="D427" t="s">
        <v>52</v>
      </c>
      <c r="E427" t="s">
        <v>17</v>
      </c>
      <c r="F427" t="s">
        <v>39</v>
      </c>
      <c r="G427" t="s">
        <v>90</v>
      </c>
      <c r="H427" t="s">
        <v>26</v>
      </c>
      <c r="I427">
        <v>9113</v>
      </c>
      <c r="J427">
        <v>0.35</v>
      </c>
      <c r="K427">
        <v>3189.5499999999997</v>
      </c>
      <c r="L427" t="s">
        <v>20</v>
      </c>
      <c r="M427" t="s">
        <v>46</v>
      </c>
      <c r="N427" t="s">
        <v>37</v>
      </c>
    </row>
    <row r="428" spans="1:14" x14ac:dyDescent="0.3">
      <c r="A428" s="62">
        <v>45577</v>
      </c>
      <c r="B428" t="s">
        <v>75</v>
      </c>
      <c r="C428" t="s">
        <v>78</v>
      </c>
      <c r="D428" t="s">
        <v>28</v>
      </c>
      <c r="E428" t="s">
        <v>24</v>
      </c>
      <c r="F428" t="s">
        <v>39</v>
      </c>
      <c r="G428" t="s">
        <v>90</v>
      </c>
      <c r="H428" t="s">
        <v>42</v>
      </c>
      <c r="I428">
        <v>11072</v>
      </c>
      <c r="J428">
        <v>0.35</v>
      </c>
      <c r="K428">
        <v>3875.2</v>
      </c>
      <c r="L428" t="s">
        <v>20</v>
      </c>
      <c r="M428" t="s">
        <v>46</v>
      </c>
      <c r="N428" t="s">
        <v>22</v>
      </c>
    </row>
    <row r="429" spans="1:14" x14ac:dyDescent="0.3">
      <c r="A429" s="62">
        <v>45578</v>
      </c>
      <c r="B429" t="s">
        <v>75</v>
      </c>
      <c r="C429" t="s">
        <v>78</v>
      </c>
      <c r="D429" t="s">
        <v>36</v>
      </c>
      <c r="E429" t="s">
        <v>17</v>
      </c>
      <c r="F429" t="s">
        <v>41</v>
      </c>
      <c r="G429" t="s">
        <v>89</v>
      </c>
      <c r="H429" t="s">
        <v>33</v>
      </c>
      <c r="I429">
        <v>11431</v>
      </c>
      <c r="J429">
        <v>0.25</v>
      </c>
      <c r="K429">
        <v>2857.75</v>
      </c>
      <c r="L429" t="s">
        <v>20</v>
      </c>
      <c r="M429" t="s">
        <v>25</v>
      </c>
      <c r="N429" t="s">
        <v>22</v>
      </c>
    </row>
    <row r="430" spans="1:14" x14ac:dyDescent="0.3">
      <c r="A430" s="62">
        <v>45578</v>
      </c>
      <c r="B430" t="s">
        <v>75</v>
      </c>
      <c r="C430" t="s">
        <v>78</v>
      </c>
      <c r="D430" t="s">
        <v>45</v>
      </c>
      <c r="E430" t="s">
        <v>17</v>
      </c>
      <c r="F430" t="s">
        <v>41</v>
      </c>
      <c r="G430" t="s">
        <v>89</v>
      </c>
      <c r="H430" t="s">
        <v>29</v>
      </c>
      <c r="I430">
        <v>8292</v>
      </c>
      <c r="J430">
        <v>0.25</v>
      </c>
      <c r="K430">
        <v>2073</v>
      </c>
      <c r="L430" t="s">
        <v>27</v>
      </c>
      <c r="M430" t="s">
        <v>46</v>
      </c>
      <c r="N430" t="s">
        <v>22</v>
      </c>
    </row>
    <row r="431" spans="1:14" x14ac:dyDescent="0.3">
      <c r="A431" s="62">
        <v>45581</v>
      </c>
      <c r="B431" t="s">
        <v>75</v>
      </c>
      <c r="C431" t="s">
        <v>78</v>
      </c>
      <c r="D431" t="s">
        <v>36</v>
      </c>
      <c r="E431" t="s">
        <v>17</v>
      </c>
      <c r="F431" t="s">
        <v>32</v>
      </c>
      <c r="G431" t="s">
        <v>90</v>
      </c>
      <c r="H431" t="s">
        <v>33</v>
      </c>
      <c r="I431">
        <v>9766</v>
      </c>
      <c r="J431">
        <v>0.4</v>
      </c>
      <c r="K431">
        <v>3906.4</v>
      </c>
      <c r="L431" t="s">
        <v>20</v>
      </c>
      <c r="M431" t="s">
        <v>21</v>
      </c>
      <c r="N431" t="s">
        <v>37</v>
      </c>
    </row>
    <row r="432" spans="1:14" x14ac:dyDescent="0.3">
      <c r="A432" s="62">
        <v>45582</v>
      </c>
      <c r="B432" t="s">
        <v>75</v>
      </c>
      <c r="C432" t="s">
        <v>78</v>
      </c>
      <c r="D432" t="s">
        <v>63</v>
      </c>
      <c r="E432" t="s">
        <v>17</v>
      </c>
      <c r="F432" t="s">
        <v>25</v>
      </c>
      <c r="G432" t="s">
        <v>91</v>
      </c>
      <c r="H432" t="s">
        <v>29</v>
      </c>
      <c r="I432">
        <v>12273</v>
      </c>
      <c r="J432">
        <v>0.25</v>
      </c>
      <c r="K432">
        <v>3068.25</v>
      </c>
      <c r="L432" t="s">
        <v>20</v>
      </c>
      <c r="M432" t="s">
        <v>46</v>
      </c>
      <c r="N432" t="s">
        <v>30</v>
      </c>
    </row>
    <row r="433" spans="1:14" x14ac:dyDescent="0.3">
      <c r="A433" s="62">
        <v>45583</v>
      </c>
      <c r="B433" t="s">
        <v>75</v>
      </c>
      <c r="C433" t="s">
        <v>78</v>
      </c>
      <c r="D433" t="s">
        <v>50</v>
      </c>
      <c r="E433" t="s">
        <v>17</v>
      </c>
      <c r="F433" t="s">
        <v>39</v>
      </c>
      <c r="G433" t="s">
        <v>90</v>
      </c>
      <c r="H433" t="s">
        <v>29</v>
      </c>
      <c r="I433">
        <v>9992</v>
      </c>
      <c r="J433">
        <v>0.35</v>
      </c>
      <c r="K433">
        <v>3497.2</v>
      </c>
      <c r="L433" t="s">
        <v>20</v>
      </c>
      <c r="M433" t="s">
        <v>21</v>
      </c>
      <c r="N433" t="s">
        <v>30</v>
      </c>
    </row>
    <row r="434" spans="1:14" x14ac:dyDescent="0.3">
      <c r="A434" s="62">
        <v>45584</v>
      </c>
      <c r="B434" t="s">
        <v>75</v>
      </c>
      <c r="C434" t="s">
        <v>78</v>
      </c>
      <c r="D434" t="s">
        <v>60</v>
      </c>
      <c r="E434" t="s">
        <v>24</v>
      </c>
      <c r="F434" t="s">
        <v>32</v>
      </c>
      <c r="G434" t="s">
        <v>90</v>
      </c>
      <c r="H434" t="s">
        <v>19</v>
      </c>
      <c r="I434">
        <v>9750</v>
      </c>
      <c r="J434">
        <v>0.4</v>
      </c>
      <c r="K434">
        <v>3900</v>
      </c>
      <c r="L434" t="s">
        <v>27</v>
      </c>
      <c r="M434" t="s">
        <v>46</v>
      </c>
      <c r="N434" t="s">
        <v>22</v>
      </c>
    </row>
    <row r="435" spans="1:14" x14ac:dyDescent="0.3">
      <c r="A435" s="62">
        <v>45587</v>
      </c>
      <c r="B435" t="s">
        <v>75</v>
      </c>
      <c r="C435" t="s">
        <v>78</v>
      </c>
      <c r="D435" t="s">
        <v>59</v>
      </c>
      <c r="E435" t="s">
        <v>24</v>
      </c>
      <c r="F435" t="s">
        <v>41</v>
      </c>
      <c r="G435" t="s">
        <v>89</v>
      </c>
      <c r="H435" t="s">
        <v>26</v>
      </c>
      <c r="I435">
        <v>12051</v>
      </c>
      <c r="J435">
        <v>0.25</v>
      </c>
      <c r="K435">
        <v>3012.75</v>
      </c>
      <c r="L435" t="s">
        <v>27</v>
      </c>
      <c r="M435" t="s">
        <v>25</v>
      </c>
      <c r="N435" t="s">
        <v>37</v>
      </c>
    </row>
    <row r="436" spans="1:14" x14ac:dyDescent="0.3">
      <c r="A436" s="62">
        <v>45587</v>
      </c>
      <c r="B436" t="s">
        <v>75</v>
      </c>
      <c r="C436" t="s">
        <v>78</v>
      </c>
      <c r="D436" t="s">
        <v>47</v>
      </c>
      <c r="E436" t="s">
        <v>24</v>
      </c>
      <c r="F436" t="s">
        <v>18</v>
      </c>
      <c r="G436" t="s">
        <v>91</v>
      </c>
      <c r="H436" t="s">
        <v>19</v>
      </c>
      <c r="I436">
        <v>8442</v>
      </c>
      <c r="J436">
        <v>0.3</v>
      </c>
      <c r="K436">
        <v>2532.6</v>
      </c>
      <c r="L436" t="s">
        <v>20</v>
      </c>
      <c r="M436" t="s">
        <v>21</v>
      </c>
      <c r="N436" t="s">
        <v>34</v>
      </c>
    </row>
    <row r="437" spans="1:14" x14ac:dyDescent="0.3">
      <c r="A437" s="62">
        <v>45587</v>
      </c>
      <c r="B437" t="s">
        <v>75</v>
      </c>
      <c r="C437" t="s">
        <v>78</v>
      </c>
      <c r="D437" t="s">
        <v>66</v>
      </c>
      <c r="E437" t="s">
        <v>24</v>
      </c>
      <c r="F437" t="s">
        <v>41</v>
      </c>
      <c r="G437" t="s">
        <v>89</v>
      </c>
      <c r="H437" t="s">
        <v>42</v>
      </c>
      <c r="I437">
        <v>10526</v>
      </c>
      <c r="J437">
        <v>0.25</v>
      </c>
      <c r="K437">
        <v>2631.5</v>
      </c>
      <c r="L437" t="s">
        <v>20</v>
      </c>
      <c r="M437" t="s">
        <v>21</v>
      </c>
      <c r="N437" t="s">
        <v>37</v>
      </c>
    </row>
    <row r="438" spans="1:14" x14ac:dyDescent="0.3">
      <c r="A438" s="62">
        <v>45590</v>
      </c>
      <c r="B438" t="s">
        <v>75</v>
      </c>
      <c r="C438" t="s">
        <v>78</v>
      </c>
      <c r="D438" t="s">
        <v>28</v>
      </c>
      <c r="E438" t="s">
        <v>24</v>
      </c>
      <c r="F438" t="s">
        <v>32</v>
      </c>
      <c r="G438" t="s">
        <v>90</v>
      </c>
      <c r="H438" t="s">
        <v>29</v>
      </c>
      <c r="I438">
        <v>10041</v>
      </c>
      <c r="J438">
        <v>0.4</v>
      </c>
      <c r="K438">
        <v>4016.4</v>
      </c>
      <c r="L438" t="s">
        <v>20</v>
      </c>
      <c r="M438" t="s">
        <v>21</v>
      </c>
      <c r="N438" t="s">
        <v>30</v>
      </c>
    </row>
    <row r="439" spans="1:14" x14ac:dyDescent="0.3">
      <c r="A439" s="62">
        <v>45591</v>
      </c>
      <c r="B439" t="s">
        <v>75</v>
      </c>
      <c r="C439" t="s">
        <v>78</v>
      </c>
      <c r="D439" t="s">
        <v>60</v>
      </c>
      <c r="E439" t="s">
        <v>24</v>
      </c>
      <c r="F439" t="s">
        <v>41</v>
      </c>
      <c r="G439" t="s">
        <v>89</v>
      </c>
      <c r="H439" t="s">
        <v>33</v>
      </c>
      <c r="I439">
        <v>10310</v>
      </c>
      <c r="J439">
        <v>0.25</v>
      </c>
      <c r="K439">
        <v>2577.5</v>
      </c>
      <c r="L439" t="s">
        <v>20</v>
      </c>
      <c r="M439" t="s">
        <v>46</v>
      </c>
      <c r="N439" t="s">
        <v>37</v>
      </c>
    </row>
    <row r="440" spans="1:14" x14ac:dyDescent="0.3">
      <c r="A440" s="62">
        <v>45593</v>
      </c>
      <c r="B440" t="s">
        <v>75</v>
      </c>
      <c r="C440" t="s">
        <v>78</v>
      </c>
      <c r="D440" t="s">
        <v>16</v>
      </c>
      <c r="E440" t="s">
        <v>17</v>
      </c>
      <c r="F440" t="s">
        <v>39</v>
      </c>
      <c r="G440" t="s">
        <v>90</v>
      </c>
      <c r="H440" t="s">
        <v>33</v>
      </c>
      <c r="I440">
        <v>11400</v>
      </c>
      <c r="J440">
        <v>0.35</v>
      </c>
      <c r="K440">
        <v>3989.9999999999995</v>
      </c>
      <c r="L440" t="s">
        <v>27</v>
      </c>
      <c r="M440" t="s">
        <v>21</v>
      </c>
      <c r="N440" t="s">
        <v>22</v>
      </c>
    </row>
    <row r="441" spans="1:14" x14ac:dyDescent="0.3">
      <c r="A441" s="62">
        <v>45593</v>
      </c>
      <c r="B441" t="s">
        <v>75</v>
      </c>
      <c r="C441" t="s">
        <v>78</v>
      </c>
      <c r="D441" t="s">
        <v>63</v>
      </c>
      <c r="E441" t="s">
        <v>17</v>
      </c>
      <c r="F441" t="s">
        <v>39</v>
      </c>
      <c r="G441" t="s">
        <v>90</v>
      </c>
      <c r="H441" t="s">
        <v>42</v>
      </c>
      <c r="I441">
        <v>9897</v>
      </c>
      <c r="J441">
        <v>0.35</v>
      </c>
      <c r="K441">
        <v>3463.95</v>
      </c>
      <c r="L441" t="s">
        <v>27</v>
      </c>
      <c r="M441" t="s">
        <v>21</v>
      </c>
      <c r="N441" t="s">
        <v>34</v>
      </c>
    </row>
    <row r="442" spans="1:14" x14ac:dyDescent="0.3">
      <c r="A442" s="62">
        <v>45593</v>
      </c>
      <c r="B442" t="s">
        <v>75</v>
      </c>
      <c r="C442" t="s">
        <v>78</v>
      </c>
      <c r="D442" t="s">
        <v>58</v>
      </c>
      <c r="E442" t="s">
        <v>24</v>
      </c>
      <c r="F442" t="s">
        <v>39</v>
      </c>
      <c r="G442" t="s">
        <v>90</v>
      </c>
      <c r="H442" t="s">
        <v>29</v>
      </c>
      <c r="I442">
        <v>7923</v>
      </c>
      <c r="J442">
        <v>0.35</v>
      </c>
      <c r="K442">
        <v>2773.0499999999997</v>
      </c>
      <c r="L442" t="s">
        <v>27</v>
      </c>
      <c r="M442" t="s">
        <v>46</v>
      </c>
      <c r="N442" t="s">
        <v>30</v>
      </c>
    </row>
    <row r="443" spans="1:14" x14ac:dyDescent="0.3">
      <c r="A443" s="62">
        <v>45594</v>
      </c>
      <c r="B443" t="s">
        <v>75</v>
      </c>
      <c r="C443" t="s">
        <v>78</v>
      </c>
      <c r="D443" t="s">
        <v>47</v>
      </c>
      <c r="E443" t="s">
        <v>24</v>
      </c>
      <c r="F443" t="s">
        <v>18</v>
      </c>
      <c r="G443" t="s">
        <v>91</v>
      </c>
      <c r="H443" t="s">
        <v>29</v>
      </c>
      <c r="I443">
        <v>11302</v>
      </c>
      <c r="J443">
        <v>0.3</v>
      </c>
      <c r="K443">
        <v>3390.6</v>
      </c>
      <c r="L443" t="s">
        <v>27</v>
      </c>
      <c r="M443" t="s">
        <v>46</v>
      </c>
      <c r="N443" t="s">
        <v>37</v>
      </c>
    </row>
    <row r="444" spans="1:14" x14ac:dyDescent="0.3">
      <c r="A444" s="62">
        <v>45600</v>
      </c>
      <c r="B444" t="s">
        <v>76</v>
      </c>
      <c r="C444" t="s">
        <v>78</v>
      </c>
      <c r="D444" t="s">
        <v>35</v>
      </c>
      <c r="E444" t="s">
        <v>24</v>
      </c>
      <c r="F444" t="s">
        <v>39</v>
      </c>
      <c r="G444" t="s">
        <v>90</v>
      </c>
      <c r="H444" t="s">
        <v>19</v>
      </c>
      <c r="I444">
        <v>9544</v>
      </c>
      <c r="J444">
        <v>0.35</v>
      </c>
      <c r="K444">
        <v>3340.3999999999996</v>
      </c>
      <c r="L444" t="s">
        <v>27</v>
      </c>
      <c r="M444" t="s">
        <v>25</v>
      </c>
      <c r="N444" t="s">
        <v>37</v>
      </c>
    </row>
    <row r="445" spans="1:14" x14ac:dyDescent="0.3">
      <c r="A445" s="62">
        <v>45602</v>
      </c>
      <c r="B445" t="s">
        <v>76</v>
      </c>
      <c r="C445" t="s">
        <v>78</v>
      </c>
      <c r="D445" t="s">
        <v>68</v>
      </c>
      <c r="E445" t="s">
        <v>24</v>
      </c>
      <c r="F445" t="s">
        <v>32</v>
      </c>
      <c r="G445" t="s">
        <v>90</v>
      </c>
      <c r="H445" t="s">
        <v>26</v>
      </c>
      <c r="I445">
        <v>8514</v>
      </c>
      <c r="J445">
        <v>0.4</v>
      </c>
      <c r="K445">
        <v>3405.6000000000004</v>
      </c>
      <c r="L445" t="s">
        <v>27</v>
      </c>
      <c r="M445" t="s">
        <v>21</v>
      </c>
      <c r="N445" t="s">
        <v>34</v>
      </c>
    </row>
    <row r="446" spans="1:14" x14ac:dyDescent="0.3">
      <c r="A446" s="62">
        <v>45603</v>
      </c>
      <c r="B446" t="s">
        <v>76</v>
      </c>
      <c r="C446" t="s">
        <v>78</v>
      </c>
      <c r="D446" t="s">
        <v>64</v>
      </c>
      <c r="E446" t="s">
        <v>17</v>
      </c>
      <c r="F446" t="s">
        <v>18</v>
      </c>
      <c r="G446" t="s">
        <v>91</v>
      </c>
      <c r="H446" t="s">
        <v>19</v>
      </c>
      <c r="I446">
        <v>10974</v>
      </c>
      <c r="J446">
        <v>0.3</v>
      </c>
      <c r="K446">
        <v>3292.2</v>
      </c>
      <c r="L446" t="s">
        <v>20</v>
      </c>
      <c r="M446" t="s">
        <v>46</v>
      </c>
      <c r="N446" t="s">
        <v>37</v>
      </c>
    </row>
    <row r="447" spans="1:14" x14ac:dyDescent="0.3">
      <c r="A447" s="62">
        <v>45603</v>
      </c>
      <c r="B447" t="s">
        <v>76</v>
      </c>
      <c r="C447" t="s">
        <v>78</v>
      </c>
      <c r="D447" t="s">
        <v>60</v>
      </c>
      <c r="E447" t="s">
        <v>24</v>
      </c>
      <c r="F447" t="s">
        <v>25</v>
      </c>
      <c r="G447" t="s">
        <v>91</v>
      </c>
      <c r="H447" t="s">
        <v>33</v>
      </c>
      <c r="I447">
        <v>8571</v>
      </c>
      <c r="J447">
        <v>0.25</v>
      </c>
      <c r="K447">
        <v>2142.75</v>
      </c>
      <c r="L447" t="s">
        <v>27</v>
      </c>
      <c r="M447" t="s">
        <v>46</v>
      </c>
      <c r="N447" t="s">
        <v>37</v>
      </c>
    </row>
    <row r="448" spans="1:14" x14ac:dyDescent="0.3">
      <c r="A448" s="62">
        <v>45606</v>
      </c>
      <c r="B448" t="s">
        <v>76</v>
      </c>
      <c r="C448" t="s">
        <v>78</v>
      </c>
      <c r="D448" t="s">
        <v>56</v>
      </c>
      <c r="E448" t="s">
        <v>17</v>
      </c>
      <c r="F448" t="s">
        <v>32</v>
      </c>
      <c r="G448" t="s">
        <v>90</v>
      </c>
      <c r="H448" t="s">
        <v>33</v>
      </c>
      <c r="I448">
        <v>8396</v>
      </c>
      <c r="J448">
        <v>0.4</v>
      </c>
      <c r="K448">
        <v>3358.4</v>
      </c>
      <c r="L448" t="s">
        <v>20</v>
      </c>
      <c r="M448" t="s">
        <v>25</v>
      </c>
      <c r="N448" t="s">
        <v>37</v>
      </c>
    </row>
    <row r="449" spans="1:14" x14ac:dyDescent="0.3">
      <c r="A449" s="62">
        <v>45606</v>
      </c>
      <c r="B449" t="s">
        <v>76</v>
      </c>
      <c r="C449" t="s">
        <v>78</v>
      </c>
      <c r="D449" t="s">
        <v>50</v>
      </c>
      <c r="E449" t="s">
        <v>17</v>
      </c>
      <c r="F449" t="s">
        <v>25</v>
      </c>
      <c r="G449" t="s">
        <v>91</v>
      </c>
      <c r="H449" t="s">
        <v>19</v>
      </c>
      <c r="I449">
        <v>7837</v>
      </c>
      <c r="J449">
        <v>0.25</v>
      </c>
      <c r="K449">
        <v>1959.25</v>
      </c>
      <c r="L449" t="s">
        <v>20</v>
      </c>
      <c r="M449" t="s">
        <v>21</v>
      </c>
      <c r="N449" t="s">
        <v>37</v>
      </c>
    </row>
    <row r="450" spans="1:14" x14ac:dyDescent="0.3">
      <c r="A450" s="62">
        <v>45608</v>
      </c>
      <c r="B450" t="s">
        <v>76</v>
      </c>
      <c r="C450" t="s">
        <v>78</v>
      </c>
      <c r="D450" t="s">
        <v>45</v>
      </c>
      <c r="E450" t="s">
        <v>17</v>
      </c>
      <c r="F450" t="s">
        <v>39</v>
      </c>
      <c r="G450" t="s">
        <v>90</v>
      </c>
      <c r="H450" t="s">
        <v>29</v>
      </c>
      <c r="I450">
        <v>10358</v>
      </c>
      <c r="J450">
        <v>0.35</v>
      </c>
      <c r="K450">
        <v>3625.2999999999997</v>
      </c>
      <c r="L450" t="s">
        <v>20</v>
      </c>
      <c r="M450" t="s">
        <v>46</v>
      </c>
      <c r="N450" t="s">
        <v>30</v>
      </c>
    </row>
    <row r="451" spans="1:14" x14ac:dyDescent="0.3">
      <c r="A451" s="62">
        <v>45609</v>
      </c>
      <c r="B451" t="s">
        <v>76</v>
      </c>
      <c r="C451" t="s">
        <v>78</v>
      </c>
      <c r="D451" t="s">
        <v>51</v>
      </c>
      <c r="E451" t="s">
        <v>24</v>
      </c>
      <c r="F451" t="s">
        <v>39</v>
      </c>
      <c r="G451" t="s">
        <v>90</v>
      </c>
      <c r="H451" t="s">
        <v>42</v>
      </c>
      <c r="I451">
        <v>8002</v>
      </c>
      <c r="J451">
        <v>0.35</v>
      </c>
      <c r="K451">
        <v>2800.7</v>
      </c>
      <c r="L451" t="s">
        <v>27</v>
      </c>
      <c r="M451" t="s">
        <v>46</v>
      </c>
      <c r="N451" t="s">
        <v>30</v>
      </c>
    </row>
    <row r="452" spans="1:14" x14ac:dyDescent="0.3">
      <c r="A452" s="62">
        <v>45612</v>
      </c>
      <c r="B452" t="s">
        <v>76</v>
      </c>
      <c r="C452" t="s">
        <v>78</v>
      </c>
      <c r="D452" t="s">
        <v>54</v>
      </c>
      <c r="E452" t="s">
        <v>17</v>
      </c>
      <c r="F452" t="s">
        <v>41</v>
      </c>
      <c r="G452" t="s">
        <v>89</v>
      </c>
      <c r="H452" t="s">
        <v>29</v>
      </c>
      <c r="I452">
        <v>7833</v>
      </c>
      <c r="J452">
        <v>0.25</v>
      </c>
      <c r="K452">
        <v>1958.25</v>
      </c>
      <c r="L452" t="s">
        <v>27</v>
      </c>
      <c r="M452" t="s">
        <v>21</v>
      </c>
      <c r="N452" t="s">
        <v>30</v>
      </c>
    </row>
    <row r="453" spans="1:14" x14ac:dyDescent="0.3">
      <c r="A453" s="62">
        <v>45612</v>
      </c>
      <c r="B453" t="s">
        <v>76</v>
      </c>
      <c r="C453" t="s">
        <v>78</v>
      </c>
      <c r="D453" t="s">
        <v>56</v>
      </c>
      <c r="E453" t="s">
        <v>17</v>
      </c>
      <c r="F453" t="s">
        <v>18</v>
      </c>
      <c r="G453" t="s">
        <v>91</v>
      </c>
      <c r="H453" t="s">
        <v>42</v>
      </c>
      <c r="I453">
        <v>8395</v>
      </c>
      <c r="J453">
        <v>0.3</v>
      </c>
      <c r="K453">
        <v>2518.5</v>
      </c>
      <c r="L453" t="s">
        <v>27</v>
      </c>
      <c r="M453" t="s">
        <v>46</v>
      </c>
      <c r="N453" t="s">
        <v>37</v>
      </c>
    </row>
    <row r="454" spans="1:14" x14ac:dyDescent="0.3">
      <c r="A454" s="62">
        <v>45615</v>
      </c>
      <c r="B454" t="s">
        <v>76</v>
      </c>
      <c r="C454" t="s">
        <v>78</v>
      </c>
      <c r="D454" t="s">
        <v>55</v>
      </c>
      <c r="E454" t="s">
        <v>24</v>
      </c>
      <c r="F454" t="s">
        <v>41</v>
      </c>
      <c r="G454" t="s">
        <v>89</v>
      </c>
      <c r="H454" t="s">
        <v>33</v>
      </c>
      <c r="I454">
        <v>8763</v>
      </c>
      <c r="J454">
        <v>0.25</v>
      </c>
      <c r="K454">
        <v>2190.75</v>
      </c>
      <c r="L454" t="s">
        <v>20</v>
      </c>
      <c r="M454" t="s">
        <v>25</v>
      </c>
      <c r="N454" t="s">
        <v>22</v>
      </c>
    </row>
    <row r="455" spans="1:14" x14ac:dyDescent="0.3">
      <c r="A455" s="62">
        <v>45616</v>
      </c>
      <c r="B455" t="s">
        <v>76</v>
      </c>
      <c r="C455" t="s">
        <v>78</v>
      </c>
      <c r="D455" t="s">
        <v>47</v>
      </c>
      <c r="E455" t="s">
        <v>24</v>
      </c>
      <c r="F455" t="s">
        <v>41</v>
      </c>
      <c r="G455" t="s">
        <v>89</v>
      </c>
      <c r="H455" t="s">
        <v>29</v>
      </c>
      <c r="I455">
        <v>8611</v>
      </c>
      <c r="J455">
        <v>0.25</v>
      </c>
      <c r="K455">
        <v>2152.75</v>
      </c>
      <c r="L455" t="s">
        <v>20</v>
      </c>
      <c r="M455" t="s">
        <v>46</v>
      </c>
      <c r="N455" t="s">
        <v>30</v>
      </c>
    </row>
    <row r="456" spans="1:14" x14ac:dyDescent="0.3">
      <c r="A456" s="62">
        <v>45617</v>
      </c>
      <c r="B456" t="s">
        <v>76</v>
      </c>
      <c r="C456" t="s">
        <v>78</v>
      </c>
      <c r="D456" t="s">
        <v>52</v>
      </c>
      <c r="E456" t="s">
        <v>17</v>
      </c>
      <c r="F456" t="s">
        <v>41</v>
      </c>
      <c r="G456" t="s">
        <v>89</v>
      </c>
      <c r="H456" t="s">
        <v>19</v>
      </c>
      <c r="I456">
        <v>9027</v>
      </c>
      <c r="J456">
        <v>0.25</v>
      </c>
      <c r="K456">
        <v>2256.75</v>
      </c>
      <c r="L456" t="s">
        <v>27</v>
      </c>
      <c r="M456" t="s">
        <v>21</v>
      </c>
      <c r="N456" t="s">
        <v>34</v>
      </c>
    </row>
    <row r="457" spans="1:14" x14ac:dyDescent="0.3">
      <c r="A457" s="62">
        <v>45617</v>
      </c>
      <c r="B457" t="s">
        <v>76</v>
      </c>
      <c r="C457" t="s">
        <v>78</v>
      </c>
      <c r="D457" t="s">
        <v>59</v>
      </c>
      <c r="E457" t="s">
        <v>24</v>
      </c>
      <c r="F457" t="s">
        <v>41</v>
      </c>
      <c r="G457" t="s">
        <v>89</v>
      </c>
      <c r="H457" t="s">
        <v>29</v>
      </c>
      <c r="I457">
        <v>9355</v>
      </c>
      <c r="J457">
        <v>0.25</v>
      </c>
      <c r="K457">
        <v>2338.75</v>
      </c>
      <c r="L457" t="s">
        <v>27</v>
      </c>
      <c r="M457" t="s">
        <v>21</v>
      </c>
      <c r="N457" t="s">
        <v>22</v>
      </c>
    </row>
    <row r="458" spans="1:14" x14ac:dyDescent="0.3">
      <c r="A458" s="62">
        <v>45619</v>
      </c>
      <c r="B458" t="s">
        <v>76</v>
      </c>
      <c r="C458" t="s">
        <v>78</v>
      </c>
      <c r="D458" t="s">
        <v>49</v>
      </c>
      <c r="E458" t="s">
        <v>17</v>
      </c>
      <c r="F458" t="s">
        <v>25</v>
      </c>
      <c r="G458" t="s">
        <v>91</v>
      </c>
      <c r="H458" t="s">
        <v>26</v>
      </c>
      <c r="I458">
        <v>10086</v>
      </c>
      <c r="J458">
        <v>0.25</v>
      </c>
      <c r="K458">
        <v>2521.5</v>
      </c>
      <c r="L458" t="s">
        <v>20</v>
      </c>
      <c r="M458" t="s">
        <v>46</v>
      </c>
      <c r="N458" t="s">
        <v>34</v>
      </c>
    </row>
    <row r="459" spans="1:14" x14ac:dyDescent="0.3">
      <c r="A459" s="62">
        <v>45619</v>
      </c>
      <c r="B459" t="s">
        <v>76</v>
      </c>
      <c r="C459" t="s">
        <v>78</v>
      </c>
      <c r="D459" t="s">
        <v>56</v>
      </c>
      <c r="E459" t="s">
        <v>17</v>
      </c>
      <c r="F459" t="s">
        <v>25</v>
      </c>
      <c r="G459" t="s">
        <v>91</v>
      </c>
      <c r="H459" t="s">
        <v>33</v>
      </c>
      <c r="I459">
        <v>11777</v>
      </c>
      <c r="J459">
        <v>0.25</v>
      </c>
      <c r="K459">
        <v>2944.25</v>
      </c>
      <c r="L459" t="s">
        <v>20</v>
      </c>
      <c r="M459" t="s">
        <v>21</v>
      </c>
      <c r="N459" t="s">
        <v>34</v>
      </c>
    </row>
    <row r="460" spans="1:14" x14ac:dyDescent="0.3">
      <c r="A460" s="62">
        <v>45619</v>
      </c>
      <c r="B460" t="s">
        <v>76</v>
      </c>
      <c r="C460" t="s">
        <v>78</v>
      </c>
      <c r="D460" t="s">
        <v>51</v>
      </c>
      <c r="E460" t="s">
        <v>24</v>
      </c>
      <c r="F460" t="s">
        <v>18</v>
      </c>
      <c r="G460" t="s">
        <v>91</v>
      </c>
      <c r="H460" t="s">
        <v>33</v>
      </c>
      <c r="I460">
        <v>10987</v>
      </c>
      <c r="J460">
        <v>0.3</v>
      </c>
      <c r="K460">
        <v>3296.1</v>
      </c>
      <c r="L460" t="s">
        <v>20</v>
      </c>
      <c r="M460" t="s">
        <v>46</v>
      </c>
      <c r="N460" t="s">
        <v>37</v>
      </c>
    </row>
    <row r="461" spans="1:14" x14ac:dyDescent="0.3">
      <c r="A461" s="62">
        <v>45620</v>
      </c>
      <c r="B461" t="s">
        <v>76</v>
      </c>
      <c r="C461" t="s">
        <v>78</v>
      </c>
      <c r="D461" t="s">
        <v>49</v>
      </c>
      <c r="E461" t="s">
        <v>17</v>
      </c>
      <c r="F461" t="s">
        <v>41</v>
      </c>
      <c r="G461" t="s">
        <v>89</v>
      </c>
      <c r="H461" t="s">
        <v>42</v>
      </c>
      <c r="I461">
        <v>10033</v>
      </c>
      <c r="J461">
        <v>0.25</v>
      </c>
      <c r="K461">
        <v>2508.25</v>
      </c>
      <c r="L461" t="s">
        <v>20</v>
      </c>
      <c r="M461" t="s">
        <v>21</v>
      </c>
      <c r="N461" t="s">
        <v>22</v>
      </c>
    </row>
    <row r="462" spans="1:14" x14ac:dyDescent="0.3">
      <c r="A462" s="62">
        <v>45623</v>
      </c>
      <c r="B462" t="s">
        <v>76</v>
      </c>
      <c r="C462" t="s">
        <v>78</v>
      </c>
      <c r="D462" t="s">
        <v>55</v>
      </c>
      <c r="E462" t="s">
        <v>24</v>
      </c>
      <c r="F462" t="s">
        <v>41</v>
      </c>
      <c r="G462" t="s">
        <v>89</v>
      </c>
      <c r="H462" t="s">
        <v>26</v>
      </c>
      <c r="I462">
        <v>9393</v>
      </c>
      <c r="J462">
        <v>0.25</v>
      </c>
      <c r="K462">
        <v>2348.25</v>
      </c>
      <c r="L462" t="s">
        <v>27</v>
      </c>
      <c r="M462" t="s">
        <v>46</v>
      </c>
      <c r="N462" t="s">
        <v>34</v>
      </c>
    </row>
    <row r="463" spans="1:14" x14ac:dyDescent="0.3">
      <c r="A463" s="62">
        <v>45626</v>
      </c>
      <c r="B463" t="s">
        <v>76</v>
      </c>
      <c r="C463" t="s">
        <v>78</v>
      </c>
      <c r="D463" t="s">
        <v>44</v>
      </c>
      <c r="E463" t="s">
        <v>24</v>
      </c>
      <c r="F463" t="s">
        <v>32</v>
      </c>
      <c r="G463" t="s">
        <v>90</v>
      </c>
      <c r="H463" t="s">
        <v>29</v>
      </c>
      <c r="I463">
        <v>8047</v>
      </c>
      <c r="J463">
        <v>0.4</v>
      </c>
      <c r="K463">
        <v>3218.8</v>
      </c>
      <c r="L463" t="s">
        <v>27</v>
      </c>
      <c r="M463" t="s">
        <v>46</v>
      </c>
      <c r="N463" t="s">
        <v>22</v>
      </c>
    </row>
    <row r="464" spans="1:14" x14ac:dyDescent="0.3">
      <c r="A464" s="62">
        <v>45629</v>
      </c>
      <c r="B464" t="s">
        <v>77</v>
      </c>
      <c r="C464" t="s">
        <v>78</v>
      </c>
      <c r="D464" t="s">
        <v>68</v>
      </c>
      <c r="E464" t="s">
        <v>24</v>
      </c>
      <c r="F464" t="s">
        <v>39</v>
      </c>
      <c r="G464" t="s">
        <v>90</v>
      </c>
      <c r="H464" t="s">
        <v>26</v>
      </c>
      <c r="I464">
        <v>9659</v>
      </c>
      <c r="J464">
        <v>0.35</v>
      </c>
      <c r="K464">
        <v>3380.6499999999996</v>
      </c>
      <c r="L464" t="s">
        <v>20</v>
      </c>
      <c r="M464" t="s">
        <v>21</v>
      </c>
      <c r="N464" t="s">
        <v>22</v>
      </c>
    </row>
    <row r="465" spans="1:14" x14ac:dyDescent="0.3">
      <c r="A465" s="62">
        <v>45636</v>
      </c>
      <c r="B465" t="s">
        <v>77</v>
      </c>
      <c r="C465" t="s">
        <v>78</v>
      </c>
      <c r="D465" t="s">
        <v>64</v>
      </c>
      <c r="E465" t="s">
        <v>17</v>
      </c>
      <c r="F465" t="s">
        <v>18</v>
      </c>
      <c r="G465" t="s">
        <v>91</v>
      </c>
      <c r="H465" t="s">
        <v>26</v>
      </c>
      <c r="I465">
        <v>10862</v>
      </c>
      <c r="J465">
        <v>0.3</v>
      </c>
      <c r="K465">
        <v>3258.6</v>
      </c>
      <c r="L465" t="s">
        <v>20</v>
      </c>
      <c r="M465" t="s">
        <v>21</v>
      </c>
      <c r="N465" t="s">
        <v>30</v>
      </c>
    </row>
    <row r="466" spans="1:14" x14ac:dyDescent="0.3">
      <c r="A466" s="62">
        <v>45637</v>
      </c>
      <c r="B466" t="s">
        <v>77</v>
      </c>
      <c r="C466" t="s">
        <v>78</v>
      </c>
      <c r="D466" t="s">
        <v>51</v>
      </c>
      <c r="E466" t="s">
        <v>24</v>
      </c>
      <c r="F466" t="s">
        <v>18</v>
      </c>
      <c r="G466" t="s">
        <v>91</v>
      </c>
      <c r="H466" t="s">
        <v>29</v>
      </c>
      <c r="I466">
        <v>10307</v>
      </c>
      <c r="J466">
        <v>0.3</v>
      </c>
      <c r="K466">
        <v>3092.1</v>
      </c>
      <c r="L466" t="s">
        <v>20</v>
      </c>
      <c r="M466" t="s">
        <v>25</v>
      </c>
      <c r="N466" t="s">
        <v>37</v>
      </c>
    </row>
    <row r="467" spans="1:14" x14ac:dyDescent="0.3">
      <c r="A467" s="62">
        <v>45637</v>
      </c>
      <c r="B467" t="s">
        <v>77</v>
      </c>
      <c r="C467" t="s">
        <v>78</v>
      </c>
      <c r="D467" t="s">
        <v>47</v>
      </c>
      <c r="E467" t="s">
        <v>24</v>
      </c>
      <c r="F467" t="s">
        <v>39</v>
      </c>
      <c r="G467" t="s">
        <v>90</v>
      </c>
      <c r="H467" t="s">
        <v>33</v>
      </c>
      <c r="I467">
        <v>8071</v>
      </c>
      <c r="J467">
        <v>0.35</v>
      </c>
      <c r="K467">
        <v>2824.85</v>
      </c>
      <c r="L467" t="s">
        <v>27</v>
      </c>
      <c r="M467" t="s">
        <v>21</v>
      </c>
      <c r="N467" t="s">
        <v>37</v>
      </c>
    </row>
    <row r="468" spans="1:14" x14ac:dyDescent="0.3">
      <c r="A468" s="62">
        <v>45640</v>
      </c>
      <c r="B468" t="s">
        <v>77</v>
      </c>
      <c r="C468" t="s">
        <v>78</v>
      </c>
      <c r="D468" t="s">
        <v>43</v>
      </c>
      <c r="E468" t="s">
        <v>24</v>
      </c>
      <c r="F468" t="s">
        <v>41</v>
      </c>
      <c r="G468" t="s">
        <v>89</v>
      </c>
      <c r="H468" t="s">
        <v>33</v>
      </c>
      <c r="I468">
        <v>11504</v>
      </c>
      <c r="J468">
        <v>0.25</v>
      </c>
      <c r="K468">
        <v>2876</v>
      </c>
      <c r="L468" t="s">
        <v>27</v>
      </c>
      <c r="M468" t="s">
        <v>46</v>
      </c>
      <c r="N468" t="s">
        <v>37</v>
      </c>
    </row>
    <row r="469" spans="1:14" x14ac:dyDescent="0.3">
      <c r="A469" s="62">
        <v>45643</v>
      </c>
      <c r="B469" t="s">
        <v>77</v>
      </c>
      <c r="C469" t="s">
        <v>78</v>
      </c>
      <c r="D469" t="s">
        <v>48</v>
      </c>
      <c r="E469" t="s">
        <v>17</v>
      </c>
      <c r="F469" t="s">
        <v>32</v>
      </c>
      <c r="G469" t="s">
        <v>90</v>
      </c>
      <c r="H469" t="s">
        <v>29</v>
      </c>
      <c r="I469">
        <v>8983</v>
      </c>
      <c r="J469">
        <v>0.4</v>
      </c>
      <c r="K469">
        <v>3593.2000000000003</v>
      </c>
      <c r="L469" t="s">
        <v>20</v>
      </c>
      <c r="M469" t="s">
        <v>21</v>
      </c>
      <c r="N469" t="s">
        <v>30</v>
      </c>
    </row>
    <row r="470" spans="1:14" x14ac:dyDescent="0.3">
      <c r="A470" s="62">
        <v>45643</v>
      </c>
      <c r="B470" t="s">
        <v>77</v>
      </c>
      <c r="C470" t="s">
        <v>78</v>
      </c>
      <c r="D470" t="s">
        <v>49</v>
      </c>
      <c r="E470" t="s">
        <v>17</v>
      </c>
      <c r="F470" t="s">
        <v>41</v>
      </c>
      <c r="G470" t="s">
        <v>89</v>
      </c>
      <c r="H470" t="s">
        <v>33</v>
      </c>
      <c r="I470">
        <v>11329</v>
      </c>
      <c r="J470">
        <v>0.25</v>
      </c>
      <c r="K470">
        <v>2832.25</v>
      </c>
      <c r="L470" t="s">
        <v>20</v>
      </c>
      <c r="M470" t="s">
        <v>21</v>
      </c>
      <c r="N470" t="s">
        <v>22</v>
      </c>
    </row>
    <row r="471" spans="1:14" x14ac:dyDescent="0.3">
      <c r="A471" s="62">
        <v>45644</v>
      </c>
      <c r="B471" t="s">
        <v>77</v>
      </c>
      <c r="C471" t="s">
        <v>78</v>
      </c>
      <c r="D471" t="s">
        <v>48</v>
      </c>
      <c r="E471" t="s">
        <v>17</v>
      </c>
      <c r="F471" t="s">
        <v>25</v>
      </c>
      <c r="G471" t="s">
        <v>91</v>
      </c>
      <c r="H471" t="s">
        <v>29</v>
      </c>
      <c r="I471">
        <v>10036</v>
      </c>
      <c r="J471">
        <v>0.25</v>
      </c>
      <c r="K471">
        <v>2509</v>
      </c>
      <c r="L471" t="s">
        <v>20</v>
      </c>
      <c r="M471" t="s">
        <v>25</v>
      </c>
      <c r="N471" t="s">
        <v>37</v>
      </c>
    </row>
    <row r="472" spans="1:14" x14ac:dyDescent="0.3">
      <c r="A472" s="62">
        <v>45644</v>
      </c>
      <c r="B472" t="s">
        <v>77</v>
      </c>
      <c r="C472" t="s">
        <v>78</v>
      </c>
      <c r="D472" t="s">
        <v>44</v>
      </c>
      <c r="E472" t="s">
        <v>24</v>
      </c>
      <c r="F472" t="s">
        <v>18</v>
      </c>
      <c r="G472" t="s">
        <v>91</v>
      </c>
      <c r="H472" t="s">
        <v>19</v>
      </c>
      <c r="I472">
        <v>7860</v>
      </c>
      <c r="J472">
        <v>0.3</v>
      </c>
      <c r="K472">
        <v>2358</v>
      </c>
      <c r="L472" t="s">
        <v>20</v>
      </c>
      <c r="M472" t="s">
        <v>21</v>
      </c>
      <c r="N472" t="s">
        <v>34</v>
      </c>
    </row>
    <row r="473" spans="1:14" x14ac:dyDescent="0.3">
      <c r="A473" s="62">
        <v>45644</v>
      </c>
      <c r="B473" t="s">
        <v>77</v>
      </c>
      <c r="C473" t="s">
        <v>78</v>
      </c>
      <c r="D473" t="s">
        <v>58</v>
      </c>
      <c r="E473" t="s">
        <v>24</v>
      </c>
      <c r="F473" t="s">
        <v>41</v>
      </c>
      <c r="G473" t="s">
        <v>89</v>
      </c>
      <c r="H473" t="s">
        <v>19</v>
      </c>
      <c r="I473">
        <v>10855</v>
      </c>
      <c r="J473">
        <v>0.25</v>
      </c>
      <c r="K473">
        <v>2713.75</v>
      </c>
      <c r="L473" t="s">
        <v>20</v>
      </c>
      <c r="M473" t="s">
        <v>25</v>
      </c>
      <c r="N473" t="s">
        <v>22</v>
      </c>
    </row>
    <row r="474" spans="1:14" x14ac:dyDescent="0.3">
      <c r="A474" s="62">
        <v>45645</v>
      </c>
      <c r="B474" t="s">
        <v>77</v>
      </c>
      <c r="C474" t="s">
        <v>78</v>
      </c>
      <c r="D474" t="s">
        <v>40</v>
      </c>
      <c r="E474" t="s">
        <v>17</v>
      </c>
      <c r="F474" t="s">
        <v>18</v>
      </c>
      <c r="G474" t="s">
        <v>91</v>
      </c>
      <c r="H474" t="s">
        <v>29</v>
      </c>
      <c r="I474">
        <v>10077</v>
      </c>
      <c r="J474">
        <v>0.3</v>
      </c>
      <c r="K474">
        <v>3023.1</v>
      </c>
      <c r="L474" t="s">
        <v>20</v>
      </c>
      <c r="M474" t="s">
        <v>46</v>
      </c>
      <c r="N474" t="s">
        <v>22</v>
      </c>
    </row>
    <row r="475" spans="1:14" x14ac:dyDescent="0.3">
      <c r="A475" s="62">
        <v>45650</v>
      </c>
      <c r="B475" t="s">
        <v>77</v>
      </c>
      <c r="C475" t="s">
        <v>78</v>
      </c>
      <c r="D475" t="s">
        <v>52</v>
      </c>
      <c r="E475" t="s">
        <v>17</v>
      </c>
      <c r="F475" t="s">
        <v>32</v>
      </c>
      <c r="G475" t="s">
        <v>90</v>
      </c>
      <c r="H475" t="s">
        <v>33</v>
      </c>
      <c r="I475">
        <v>11309</v>
      </c>
      <c r="J475">
        <v>0.4</v>
      </c>
      <c r="K475">
        <v>4523.6000000000004</v>
      </c>
      <c r="L475" t="s">
        <v>20</v>
      </c>
      <c r="M475" t="s">
        <v>21</v>
      </c>
      <c r="N475" t="s">
        <v>34</v>
      </c>
    </row>
    <row r="476" spans="1:14" x14ac:dyDescent="0.3">
      <c r="A476" s="62">
        <v>45650</v>
      </c>
      <c r="B476" t="s">
        <v>77</v>
      </c>
      <c r="C476" t="s">
        <v>78</v>
      </c>
      <c r="D476" t="s">
        <v>16</v>
      </c>
      <c r="E476" t="s">
        <v>17</v>
      </c>
      <c r="F476" t="s">
        <v>18</v>
      </c>
      <c r="G476" t="s">
        <v>91</v>
      </c>
      <c r="H476" t="s">
        <v>29</v>
      </c>
      <c r="I476">
        <v>9219</v>
      </c>
      <c r="J476">
        <v>0.3</v>
      </c>
      <c r="K476">
        <v>2765.7</v>
      </c>
      <c r="L476" t="s">
        <v>20</v>
      </c>
      <c r="M476" t="s">
        <v>46</v>
      </c>
      <c r="N476" t="s">
        <v>30</v>
      </c>
    </row>
    <row r="477" spans="1:14" x14ac:dyDescent="0.3">
      <c r="A477" s="62">
        <v>45650</v>
      </c>
      <c r="B477" t="s">
        <v>77</v>
      </c>
      <c r="C477" t="s">
        <v>78</v>
      </c>
      <c r="D477" t="s">
        <v>49</v>
      </c>
      <c r="E477" t="s">
        <v>17</v>
      </c>
      <c r="F477" t="s">
        <v>25</v>
      </c>
      <c r="G477" t="s">
        <v>91</v>
      </c>
      <c r="H477" t="s">
        <v>19</v>
      </c>
      <c r="I477">
        <v>7514</v>
      </c>
      <c r="J477">
        <v>0.25</v>
      </c>
      <c r="K477">
        <v>1878.5</v>
      </c>
      <c r="L477" t="s">
        <v>20</v>
      </c>
      <c r="M477" t="s">
        <v>25</v>
      </c>
      <c r="N477" t="s">
        <v>37</v>
      </c>
    </row>
    <row r="478" spans="1:14" x14ac:dyDescent="0.3">
      <c r="A478" s="62">
        <v>45650</v>
      </c>
      <c r="B478" t="s">
        <v>77</v>
      </c>
      <c r="C478" t="s">
        <v>78</v>
      </c>
      <c r="D478" t="s">
        <v>31</v>
      </c>
      <c r="E478" t="s">
        <v>24</v>
      </c>
      <c r="F478" t="s">
        <v>18</v>
      </c>
      <c r="G478" t="s">
        <v>91</v>
      </c>
      <c r="H478" t="s">
        <v>42</v>
      </c>
      <c r="I478">
        <v>8803</v>
      </c>
      <c r="J478">
        <v>0.3</v>
      </c>
      <c r="K478">
        <v>2640.9</v>
      </c>
      <c r="L478" t="s">
        <v>27</v>
      </c>
      <c r="M478" t="s">
        <v>46</v>
      </c>
      <c r="N478" t="s">
        <v>22</v>
      </c>
    </row>
    <row r="479" spans="1:14" x14ac:dyDescent="0.3">
      <c r="A479" s="62">
        <v>45651</v>
      </c>
      <c r="B479" t="s">
        <v>77</v>
      </c>
      <c r="C479" t="s">
        <v>78</v>
      </c>
      <c r="D479" t="s">
        <v>56</v>
      </c>
      <c r="E479" t="s">
        <v>17</v>
      </c>
      <c r="F479" t="s">
        <v>39</v>
      </c>
      <c r="G479" t="s">
        <v>90</v>
      </c>
      <c r="H479" t="s">
        <v>19</v>
      </c>
      <c r="I479">
        <v>9148</v>
      </c>
      <c r="J479">
        <v>0.35</v>
      </c>
      <c r="K479">
        <v>3201.7999999999997</v>
      </c>
      <c r="L479" t="s">
        <v>27</v>
      </c>
      <c r="M479" t="s">
        <v>21</v>
      </c>
      <c r="N479" t="s">
        <v>22</v>
      </c>
    </row>
    <row r="480" spans="1:14" x14ac:dyDescent="0.3">
      <c r="A480" s="62">
        <v>45653</v>
      </c>
      <c r="B480" t="s">
        <v>77</v>
      </c>
      <c r="C480" t="s">
        <v>78</v>
      </c>
      <c r="D480" t="s">
        <v>47</v>
      </c>
      <c r="E480" t="s">
        <v>24</v>
      </c>
      <c r="F480" t="s">
        <v>39</v>
      </c>
      <c r="G480" t="s">
        <v>90</v>
      </c>
      <c r="H480" t="s">
        <v>19</v>
      </c>
      <c r="I480">
        <v>8041</v>
      </c>
      <c r="J480">
        <v>0.35</v>
      </c>
      <c r="K480">
        <v>2814.35</v>
      </c>
      <c r="L480" t="s">
        <v>20</v>
      </c>
      <c r="M480" t="s">
        <v>21</v>
      </c>
      <c r="N480" t="s">
        <v>30</v>
      </c>
    </row>
    <row r="481" spans="1:14" x14ac:dyDescent="0.3">
      <c r="A481" s="62">
        <v>45653</v>
      </c>
      <c r="B481" t="s">
        <v>77</v>
      </c>
      <c r="C481" t="s">
        <v>78</v>
      </c>
      <c r="D481" t="s">
        <v>59</v>
      </c>
      <c r="E481" t="s">
        <v>24</v>
      </c>
      <c r="F481" t="s">
        <v>32</v>
      </c>
      <c r="G481" t="s">
        <v>90</v>
      </c>
      <c r="H481" t="s">
        <v>26</v>
      </c>
      <c r="I481">
        <v>11892</v>
      </c>
      <c r="J481">
        <v>0.4</v>
      </c>
      <c r="K481">
        <v>4756.8</v>
      </c>
      <c r="L481" t="s">
        <v>20</v>
      </c>
      <c r="M481" t="s">
        <v>46</v>
      </c>
      <c r="N481" t="s">
        <v>37</v>
      </c>
    </row>
    <row r="482" spans="1:14" x14ac:dyDescent="0.3">
      <c r="A482" s="62">
        <v>45654</v>
      </c>
      <c r="B482" t="s">
        <v>77</v>
      </c>
      <c r="C482" t="s">
        <v>78</v>
      </c>
      <c r="D482" t="s">
        <v>73</v>
      </c>
      <c r="E482" t="s">
        <v>24</v>
      </c>
      <c r="F482" t="s">
        <v>39</v>
      </c>
      <c r="G482" t="s">
        <v>90</v>
      </c>
      <c r="H482" t="s">
        <v>29</v>
      </c>
      <c r="I482">
        <v>12054</v>
      </c>
      <c r="J482">
        <v>0.35</v>
      </c>
      <c r="K482">
        <v>4218.8999999999996</v>
      </c>
      <c r="L482" t="s">
        <v>20</v>
      </c>
      <c r="M482" t="s">
        <v>46</v>
      </c>
      <c r="N482" t="s">
        <v>30</v>
      </c>
    </row>
    <row r="483" spans="1:14" x14ac:dyDescent="0.3">
      <c r="A483" s="62">
        <v>45657</v>
      </c>
      <c r="B483" t="s">
        <v>77</v>
      </c>
      <c r="C483" t="s">
        <v>78</v>
      </c>
      <c r="D483" t="s">
        <v>56</v>
      </c>
      <c r="E483" t="s">
        <v>17</v>
      </c>
      <c r="F483" t="s">
        <v>39</v>
      </c>
      <c r="G483" t="s">
        <v>90</v>
      </c>
      <c r="H483" t="s">
        <v>26</v>
      </c>
      <c r="I483">
        <v>11701</v>
      </c>
      <c r="J483">
        <v>0.35</v>
      </c>
      <c r="K483">
        <v>4095.35</v>
      </c>
      <c r="L483" t="s">
        <v>20</v>
      </c>
      <c r="M483" t="s">
        <v>21</v>
      </c>
      <c r="N483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00"/>
  <sheetViews>
    <sheetView topLeftCell="A82" zoomScaleNormal="100" workbookViewId="0">
      <selection activeCell="I105" sqref="I105"/>
    </sheetView>
  </sheetViews>
  <sheetFormatPr defaultColWidth="14.44140625" defaultRowHeight="15" customHeight="1" x14ac:dyDescent="0.3"/>
  <cols>
    <col min="1" max="1" width="20" customWidth="1"/>
    <col min="2" max="2" width="23.6640625" customWidth="1"/>
    <col min="3" max="3" width="11.44140625" customWidth="1"/>
    <col min="4" max="4" width="11.33203125" customWidth="1"/>
    <col min="5" max="5" width="19.33203125" bestFit="1" customWidth="1"/>
    <col min="6" max="6" width="24.5546875" bestFit="1" customWidth="1"/>
    <col min="7" max="26" width="8.6640625" customWidth="1"/>
  </cols>
  <sheetData>
    <row r="1" spans="1:2" ht="14.4" x14ac:dyDescent="0.3">
      <c r="A1" s="26" t="s">
        <v>80</v>
      </c>
    </row>
    <row r="2" spans="1:2" ht="14.4" x14ac:dyDescent="0.3">
      <c r="A2" s="64">
        <v>3054204</v>
      </c>
    </row>
    <row r="5" spans="1:2" ht="14.4" x14ac:dyDescent="0.3">
      <c r="A5" s="26" t="s">
        <v>81</v>
      </c>
    </row>
    <row r="6" spans="1:2" ht="14.4" x14ac:dyDescent="0.3">
      <c r="A6" s="64">
        <v>931584.74999999953</v>
      </c>
    </row>
    <row r="8" spans="1:2" ht="14.4" x14ac:dyDescent="0.3">
      <c r="A8" s="21" t="s">
        <v>82</v>
      </c>
    </row>
    <row r="9" spans="1:2" ht="14.4" x14ac:dyDescent="0.3">
      <c r="A9" s="22">
        <f>SUM(Data!$K$2:$K$481)/SUM(Data!$I$2:$I$481)</f>
        <v>0.30501719924405818</v>
      </c>
    </row>
    <row r="11" spans="1:2" ht="14.4" x14ac:dyDescent="0.3">
      <c r="A11" s="25" t="s">
        <v>11</v>
      </c>
      <c r="B11" s="26" t="s">
        <v>83</v>
      </c>
    </row>
    <row r="12" spans="1:2" ht="14.4" x14ac:dyDescent="0.3">
      <c r="A12" s="27" t="s">
        <v>27</v>
      </c>
      <c r="B12" s="55">
        <v>182</v>
      </c>
    </row>
    <row r="13" spans="1:2" ht="14.4" x14ac:dyDescent="0.3">
      <c r="A13" s="29" t="s">
        <v>20</v>
      </c>
      <c r="B13" s="58">
        <v>298</v>
      </c>
    </row>
    <row r="14" spans="1:2" ht="14.4" x14ac:dyDescent="0.3">
      <c r="A14" s="31" t="s">
        <v>84</v>
      </c>
      <c r="B14" s="52">
        <v>480</v>
      </c>
    </row>
    <row r="17" spans="1:3" ht="14.4" x14ac:dyDescent="0.3">
      <c r="A17" s="25" t="s">
        <v>2</v>
      </c>
      <c r="B17" s="25" t="s">
        <v>1</v>
      </c>
      <c r="C17" s="26" t="s">
        <v>85</v>
      </c>
    </row>
    <row r="18" spans="1:3" ht="14.4" x14ac:dyDescent="0.3">
      <c r="A18" s="27" t="s">
        <v>15</v>
      </c>
      <c r="B18" s="27" t="s">
        <v>14</v>
      </c>
      <c r="C18" s="55">
        <v>75431</v>
      </c>
    </row>
    <row r="19" spans="1:3" ht="14.4" x14ac:dyDescent="0.3">
      <c r="A19" s="36"/>
      <c r="B19" s="29" t="s">
        <v>53</v>
      </c>
      <c r="C19" s="58">
        <v>77811</v>
      </c>
    </row>
    <row r="20" spans="1:3" ht="14.4" x14ac:dyDescent="0.3">
      <c r="A20" s="36"/>
      <c r="B20" s="29" t="s">
        <v>61</v>
      </c>
      <c r="C20" s="58">
        <v>83128</v>
      </c>
    </row>
    <row r="21" spans="1:3" ht="15.75" customHeight="1" x14ac:dyDescent="0.3">
      <c r="A21" s="36"/>
      <c r="B21" s="29" t="s">
        <v>65</v>
      </c>
      <c r="C21" s="58">
        <v>86156</v>
      </c>
    </row>
    <row r="22" spans="1:3" ht="15.75" customHeight="1" x14ac:dyDescent="0.3">
      <c r="A22" s="36"/>
      <c r="B22" s="29" t="s">
        <v>67</v>
      </c>
      <c r="C22" s="58">
        <v>74974</v>
      </c>
    </row>
    <row r="23" spans="1:3" ht="15.75" customHeight="1" x14ac:dyDescent="0.3">
      <c r="A23" s="36"/>
      <c r="B23" s="29" t="s">
        <v>69</v>
      </c>
      <c r="C23" s="58">
        <v>79856</v>
      </c>
    </row>
    <row r="24" spans="1:3" ht="15.75" customHeight="1" x14ac:dyDescent="0.3">
      <c r="A24" s="36"/>
      <c r="B24" s="29" t="s">
        <v>71</v>
      </c>
      <c r="C24" s="58">
        <v>129309</v>
      </c>
    </row>
    <row r="25" spans="1:3" ht="15.75" customHeight="1" x14ac:dyDescent="0.3">
      <c r="A25" s="36"/>
      <c r="B25" s="29" t="s">
        <v>72</v>
      </c>
      <c r="C25" s="58">
        <v>130458</v>
      </c>
    </row>
    <row r="26" spans="1:3" ht="15.75" customHeight="1" x14ac:dyDescent="0.3">
      <c r="A26" s="36"/>
      <c r="B26" s="29" t="s">
        <v>74</v>
      </c>
      <c r="C26" s="58">
        <v>137643</v>
      </c>
    </row>
    <row r="27" spans="1:3" ht="15.75" customHeight="1" x14ac:dyDescent="0.3">
      <c r="A27" s="36"/>
      <c r="B27" s="29" t="s">
        <v>75</v>
      </c>
      <c r="C27" s="58">
        <v>123722</v>
      </c>
    </row>
    <row r="28" spans="1:3" ht="15.75" customHeight="1" x14ac:dyDescent="0.3">
      <c r="A28" s="36"/>
      <c r="B28" s="29" t="s">
        <v>76</v>
      </c>
      <c r="C28" s="58">
        <v>128128</v>
      </c>
    </row>
    <row r="29" spans="1:3" ht="15.75" customHeight="1" x14ac:dyDescent="0.3">
      <c r="A29" s="36"/>
      <c r="B29" s="29" t="s">
        <v>77</v>
      </c>
      <c r="C29" s="58">
        <v>132713</v>
      </c>
    </row>
    <row r="30" spans="1:3" ht="15.75" customHeight="1" x14ac:dyDescent="0.3">
      <c r="A30" s="27" t="s">
        <v>86</v>
      </c>
      <c r="B30" s="33"/>
      <c r="C30" s="55">
        <v>1259329</v>
      </c>
    </row>
    <row r="31" spans="1:3" ht="15.75" customHeight="1" x14ac:dyDescent="0.3">
      <c r="A31" s="27" t="s">
        <v>78</v>
      </c>
      <c r="B31" s="27" t="s">
        <v>14</v>
      </c>
      <c r="C31" s="55">
        <v>104397</v>
      </c>
    </row>
    <row r="32" spans="1:3" ht="15.75" customHeight="1" x14ac:dyDescent="0.3">
      <c r="A32" s="36"/>
      <c r="B32" s="29" t="s">
        <v>53</v>
      </c>
      <c r="C32" s="58">
        <v>97872</v>
      </c>
    </row>
    <row r="33" spans="1:5" ht="15.75" customHeight="1" x14ac:dyDescent="0.3">
      <c r="A33" s="36"/>
      <c r="B33" s="29" t="s">
        <v>61</v>
      </c>
      <c r="C33" s="58">
        <v>100676</v>
      </c>
    </row>
    <row r="34" spans="1:5" ht="15.75" customHeight="1" x14ac:dyDescent="0.3">
      <c r="A34" s="36"/>
      <c r="B34" s="29" t="s">
        <v>65</v>
      </c>
      <c r="C34" s="58">
        <v>103919</v>
      </c>
    </row>
    <row r="35" spans="1:5" ht="15.75" customHeight="1" x14ac:dyDescent="0.3">
      <c r="A35" s="36"/>
      <c r="B35" s="29" t="s">
        <v>67</v>
      </c>
      <c r="C35" s="58">
        <v>96646</v>
      </c>
    </row>
    <row r="36" spans="1:5" ht="15.75" customHeight="1" x14ac:dyDescent="0.3">
      <c r="A36" s="36"/>
      <c r="B36" s="29" t="s">
        <v>69</v>
      </c>
      <c r="C36" s="58">
        <v>109598</v>
      </c>
    </row>
    <row r="37" spans="1:5" ht="15.75" customHeight="1" x14ac:dyDescent="0.3">
      <c r="A37" s="36"/>
      <c r="B37" s="29" t="s">
        <v>71</v>
      </c>
      <c r="C37" s="58">
        <v>205529</v>
      </c>
    </row>
    <row r="38" spans="1:5" ht="15.75" customHeight="1" x14ac:dyDescent="0.3">
      <c r="A38" s="36"/>
      <c r="B38" s="29" t="s">
        <v>72</v>
      </c>
      <c r="C38" s="58">
        <v>200458</v>
      </c>
    </row>
    <row r="39" spans="1:5" ht="15.75" customHeight="1" x14ac:dyDescent="0.3">
      <c r="A39" s="36"/>
      <c r="B39" s="29" t="s">
        <v>74</v>
      </c>
      <c r="C39" s="58">
        <v>187977</v>
      </c>
    </row>
    <row r="40" spans="1:5" ht="15.75" customHeight="1" x14ac:dyDescent="0.3">
      <c r="A40" s="36"/>
      <c r="B40" s="29" t="s">
        <v>75</v>
      </c>
      <c r="C40" s="58">
        <v>204076</v>
      </c>
    </row>
    <row r="41" spans="1:5" ht="15.75" customHeight="1" x14ac:dyDescent="0.3">
      <c r="A41" s="36"/>
      <c r="B41" s="29" t="s">
        <v>76</v>
      </c>
      <c r="C41" s="58">
        <v>184503</v>
      </c>
    </row>
    <row r="42" spans="1:5" ht="15.75" customHeight="1" x14ac:dyDescent="0.3">
      <c r="A42" s="36"/>
      <c r="B42" s="29" t="s">
        <v>77</v>
      </c>
      <c r="C42" s="58">
        <v>199224</v>
      </c>
    </row>
    <row r="43" spans="1:5" ht="15.75" customHeight="1" x14ac:dyDescent="0.3">
      <c r="A43" s="27" t="s">
        <v>87</v>
      </c>
      <c r="B43" s="33"/>
      <c r="C43" s="55">
        <v>1794875</v>
      </c>
    </row>
    <row r="44" spans="1:5" ht="15.75" customHeight="1" x14ac:dyDescent="0.3">
      <c r="A44" s="31" t="s">
        <v>84</v>
      </c>
      <c r="B44" s="37"/>
      <c r="C44" s="52">
        <v>3054204</v>
      </c>
    </row>
    <row r="45" spans="1:5" ht="15.75" customHeight="1" x14ac:dyDescent="0.3"/>
    <row r="46" spans="1:5" ht="15.75" customHeight="1" x14ac:dyDescent="0.3"/>
    <row r="47" spans="1:5" ht="15.75" customHeight="1" x14ac:dyDescent="0.3">
      <c r="A47" s="25" t="s">
        <v>85</v>
      </c>
      <c r="B47" s="25" t="s">
        <v>12</v>
      </c>
      <c r="C47" s="33"/>
      <c r="D47" s="33"/>
      <c r="E47" s="34"/>
    </row>
    <row r="48" spans="1:5" ht="15.75" customHeight="1" x14ac:dyDescent="0.3">
      <c r="A48" s="25" t="s">
        <v>2</v>
      </c>
      <c r="B48" s="27" t="s">
        <v>25</v>
      </c>
      <c r="C48" s="35" t="s">
        <v>46</v>
      </c>
      <c r="D48" s="35" t="s">
        <v>21</v>
      </c>
      <c r="E48" s="26" t="s">
        <v>84</v>
      </c>
    </row>
    <row r="49" spans="1:5" ht="15.75" customHeight="1" x14ac:dyDescent="0.3">
      <c r="A49" s="27" t="s">
        <v>15</v>
      </c>
      <c r="B49" s="38">
        <v>0.35907376070907604</v>
      </c>
      <c r="C49" s="39">
        <v>0.33048552046367552</v>
      </c>
      <c r="D49" s="39">
        <v>0.3104407188272485</v>
      </c>
      <c r="E49" s="28">
        <v>1</v>
      </c>
    </row>
    <row r="50" spans="1:5" ht="15.75" customHeight="1" x14ac:dyDescent="0.3">
      <c r="A50" s="29" t="s">
        <v>78</v>
      </c>
      <c r="B50" s="40">
        <v>0.23001713211226407</v>
      </c>
      <c r="C50" s="41">
        <v>0.38048833484225919</v>
      </c>
      <c r="D50" s="41">
        <v>0.38949453304547671</v>
      </c>
      <c r="E50" s="30">
        <v>1</v>
      </c>
    </row>
    <row r="51" spans="1:5" ht="15.75" customHeight="1" x14ac:dyDescent="0.3">
      <c r="A51" s="31" t="s">
        <v>84</v>
      </c>
      <c r="B51" s="42">
        <v>0.28323058970520631</v>
      </c>
      <c r="C51" s="43">
        <v>0.35987085342040021</v>
      </c>
      <c r="D51" s="43">
        <v>0.35689855687439348</v>
      </c>
      <c r="E51" s="32">
        <v>1</v>
      </c>
    </row>
    <row r="52" spans="1:5" ht="15.75" customHeight="1" x14ac:dyDescent="0.3"/>
    <row r="53" spans="1:5" ht="15.75" customHeight="1" x14ac:dyDescent="0.3"/>
    <row r="54" spans="1:5" ht="15.75" customHeight="1" x14ac:dyDescent="0.3">
      <c r="A54" s="25" t="s">
        <v>7</v>
      </c>
      <c r="B54" s="26" t="s">
        <v>85</v>
      </c>
    </row>
    <row r="55" spans="1:5" ht="15.75" customHeight="1" x14ac:dyDescent="0.3">
      <c r="A55" s="27" t="s">
        <v>33</v>
      </c>
      <c r="B55" s="28">
        <v>0.25971677071996502</v>
      </c>
    </row>
    <row r="56" spans="1:5" ht="15.75" customHeight="1" x14ac:dyDescent="0.3">
      <c r="A56" s="29" t="s">
        <v>26</v>
      </c>
      <c r="B56" s="30">
        <v>0.15935936171912551</v>
      </c>
    </row>
    <row r="57" spans="1:5" ht="15.75" customHeight="1" x14ac:dyDescent="0.3">
      <c r="A57" s="29" t="s">
        <v>19</v>
      </c>
      <c r="B57" s="30">
        <v>0.15157828357241362</v>
      </c>
    </row>
    <row r="58" spans="1:5" ht="15.75" customHeight="1" x14ac:dyDescent="0.3">
      <c r="A58" s="29" t="s">
        <v>29</v>
      </c>
      <c r="B58" s="30">
        <v>0.29742479546225464</v>
      </c>
    </row>
    <row r="59" spans="1:5" ht="15.75" customHeight="1" x14ac:dyDescent="0.3">
      <c r="A59" s="29" t="s">
        <v>42</v>
      </c>
      <c r="B59" s="30">
        <v>0.1319207885262412</v>
      </c>
    </row>
    <row r="60" spans="1:5" ht="15.75" customHeight="1" x14ac:dyDescent="0.3">
      <c r="A60" s="31" t="s">
        <v>84</v>
      </c>
      <c r="B60" s="32">
        <v>1</v>
      </c>
    </row>
    <row r="61" spans="1:5" ht="15.75" customHeight="1" x14ac:dyDescent="0.3"/>
    <row r="62" spans="1:5" ht="15.75" customHeight="1" x14ac:dyDescent="0.3"/>
    <row r="63" spans="1:5" ht="15.75" customHeight="1" x14ac:dyDescent="0.3">
      <c r="A63" s="23" t="s">
        <v>88</v>
      </c>
      <c r="B63" s="19" t="s">
        <v>85</v>
      </c>
    </row>
    <row r="64" spans="1:5" ht="15.75" customHeight="1" x14ac:dyDescent="0.3">
      <c r="A64" s="24" t="s">
        <v>54</v>
      </c>
      <c r="B64" s="20">
        <v>117139</v>
      </c>
    </row>
    <row r="65" spans="1:6" ht="15.75" customHeight="1" x14ac:dyDescent="0.3">
      <c r="A65" s="24" t="s">
        <v>50</v>
      </c>
      <c r="B65" s="20">
        <v>117796</v>
      </c>
    </row>
    <row r="66" spans="1:6" ht="15.75" customHeight="1" x14ac:dyDescent="0.3">
      <c r="A66" s="24" t="s">
        <v>57</v>
      </c>
      <c r="B66" s="20">
        <v>121631</v>
      </c>
      <c r="E66" s="25" t="s">
        <v>88</v>
      </c>
      <c r="F66" s="26" t="s">
        <v>92</v>
      </c>
    </row>
    <row r="67" spans="1:6" ht="15.75" customHeight="1" x14ac:dyDescent="0.3">
      <c r="A67" s="24" t="s">
        <v>40</v>
      </c>
      <c r="B67" s="20">
        <v>125250</v>
      </c>
      <c r="E67" s="45" t="s">
        <v>40</v>
      </c>
      <c r="F67" s="46">
        <v>125250</v>
      </c>
    </row>
    <row r="68" spans="1:6" ht="15.75" customHeight="1" x14ac:dyDescent="0.3">
      <c r="A68" s="24" t="s">
        <v>48</v>
      </c>
      <c r="B68" s="20">
        <v>126675</v>
      </c>
      <c r="E68" s="47" t="s">
        <v>50</v>
      </c>
      <c r="F68" s="48">
        <v>117796</v>
      </c>
    </row>
    <row r="69" spans="1:6" ht="15.75" customHeight="1" x14ac:dyDescent="0.3">
      <c r="A69" s="24" t="s">
        <v>44</v>
      </c>
      <c r="B69" s="20">
        <v>144481</v>
      </c>
      <c r="E69" s="47" t="s">
        <v>44</v>
      </c>
      <c r="F69" s="48">
        <v>144481</v>
      </c>
    </row>
    <row r="70" spans="1:6" ht="15.75" customHeight="1" x14ac:dyDescent="0.3">
      <c r="A70" s="24" t="s">
        <v>63</v>
      </c>
      <c r="B70" s="20">
        <v>153528</v>
      </c>
      <c r="E70" s="47" t="s">
        <v>56</v>
      </c>
      <c r="F70" s="48">
        <v>159606</v>
      </c>
    </row>
    <row r="71" spans="1:6" ht="15.75" customHeight="1" x14ac:dyDescent="0.3">
      <c r="A71" s="24" t="s">
        <v>56</v>
      </c>
      <c r="B71" s="20">
        <v>159606</v>
      </c>
      <c r="E71" s="47" t="s">
        <v>63</v>
      </c>
      <c r="F71" s="48">
        <v>153528</v>
      </c>
    </row>
    <row r="72" spans="1:6" ht="15.75" customHeight="1" x14ac:dyDescent="0.3">
      <c r="A72" s="24" t="s">
        <v>36</v>
      </c>
      <c r="B72" s="20">
        <v>174699</v>
      </c>
      <c r="E72" s="47" t="s">
        <v>57</v>
      </c>
      <c r="F72" s="48">
        <v>121631</v>
      </c>
    </row>
    <row r="73" spans="1:6" ht="15.75" customHeight="1" x14ac:dyDescent="0.3">
      <c r="A73" s="24" t="s">
        <v>52</v>
      </c>
      <c r="B73" s="20">
        <v>190001</v>
      </c>
      <c r="E73" s="47" t="s">
        <v>48</v>
      </c>
      <c r="F73" s="48">
        <v>126675</v>
      </c>
    </row>
    <row r="74" spans="1:6" ht="15.75" customHeight="1" x14ac:dyDescent="0.3">
      <c r="A74" s="24"/>
      <c r="B74" s="20"/>
      <c r="E74" s="47" t="s">
        <v>36</v>
      </c>
      <c r="F74" s="48">
        <v>174699</v>
      </c>
    </row>
    <row r="75" spans="1:6" ht="15.75" customHeight="1" x14ac:dyDescent="0.3">
      <c r="E75" s="47" t="s">
        <v>52</v>
      </c>
      <c r="F75" s="48">
        <v>190001</v>
      </c>
    </row>
    <row r="76" spans="1:6" ht="15.75" customHeight="1" x14ac:dyDescent="0.3">
      <c r="E76" s="47" t="s">
        <v>54</v>
      </c>
      <c r="F76" s="48">
        <v>117139</v>
      </c>
    </row>
    <row r="77" spans="1:6" ht="15.75" customHeight="1" x14ac:dyDescent="0.3">
      <c r="E77" s="49" t="s">
        <v>84</v>
      </c>
      <c r="F77" s="50">
        <v>1430806</v>
      </c>
    </row>
    <row r="78" spans="1:6" ht="15.75" customHeight="1" x14ac:dyDescent="0.3"/>
    <row r="79" spans="1:6" ht="15.75" customHeight="1" x14ac:dyDescent="0.3"/>
    <row r="80" spans="1:6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spans="1:2" ht="15.75" customHeight="1" x14ac:dyDescent="0.3"/>
    <row r="98" spans="1:2" ht="15.75" customHeight="1" x14ac:dyDescent="0.3"/>
    <row r="99" spans="1:2" ht="15.75" customHeight="1" x14ac:dyDescent="0.3">
      <c r="A99" s="25" t="s">
        <v>5</v>
      </c>
      <c r="B99" s="26" t="s">
        <v>85</v>
      </c>
    </row>
    <row r="100" spans="1:2" ht="15.75" customHeight="1" x14ac:dyDescent="0.3">
      <c r="A100" s="27" t="s">
        <v>25</v>
      </c>
      <c r="B100" s="55">
        <v>583377</v>
      </c>
    </row>
    <row r="101" spans="1:2" ht="15.75" customHeight="1" x14ac:dyDescent="0.3">
      <c r="A101" s="29" t="s">
        <v>32</v>
      </c>
      <c r="B101" s="58">
        <v>534926</v>
      </c>
    </row>
    <row r="102" spans="1:2" ht="15.75" customHeight="1" x14ac:dyDescent="0.3">
      <c r="A102" s="29" t="s">
        <v>41</v>
      </c>
      <c r="B102" s="58">
        <v>814320</v>
      </c>
    </row>
    <row r="103" spans="1:2" ht="15.75" customHeight="1" x14ac:dyDescent="0.3">
      <c r="A103" s="29" t="s">
        <v>18</v>
      </c>
      <c r="B103" s="58">
        <v>487265</v>
      </c>
    </row>
    <row r="104" spans="1:2" ht="15.75" customHeight="1" x14ac:dyDescent="0.3">
      <c r="A104" s="29" t="s">
        <v>39</v>
      </c>
      <c r="B104" s="58">
        <v>634316</v>
      </c>
    </row>
    <row r="105" spans="1:2" ht="15.75" customHeight="1" x14ac:dyDescent="0.3">
      <c r="A105" s="31" t="s">
        <v>84</v>
      </c>
      <c r="B105" s="52">
        <v>3054204</v>
      </c>
    </row>
    <row r="106" spans="1:2" ht="15.75" customHeight="1" x14ac:dyDescent="0.3"/>
    <row r="107" spans="1:2" ht="15.75" customHeight="1" x14ac:dyDescent="0.3"/>
    <row r="108" spans="1:2" ht="15.75" customHeight="1" x14ac:dyDescent="0.3">
      <c r="A108" s="25" t="s">
        <v>6</v>
      </c>
      <c r="B108" s="26" t="s">
        <v>81</v>
      </c>
    </row>
    <row r="109" spans="1:2" ht="15.75" customHeight="1" x14ac:dyDescent="0.3">
      <c r="A109" s="27" t="s">
        <v>89</v>
      </c>
      <c r="B109" s="28">
        <v>0.21853084220195748</v>
      </c>
    </row>
    <row r="110" spans="1:2" ht="15.75" customHeight="1" x14ac:dyDescent="0.3">
      <c r="A110" s="29" t="s">
        <v>90</v>
      </c>
      <c r="B110" s="30">
        <v>0.46799928830951765</v>
      </c>
    </row>
    <row r="111" spans="1:2" ht="15.75" customHeight="1" x14ac:dyDescent="0.3">
      <c r="A111" s="29" t="s">
        <v>91</v>
      </c>
      <c r="B111" s="30">
        <v>0.31346986948852473</v>
      </c>
    </row>
    <row r="112" spans="1:2" ht="15.75" customHeight="1" x14ac:dyDescent="0.3">
      <c r="A112" s="31" t="s">
        <v>84</v>
      </c>
      <c r="B112" s="32">
        <v>1</v>
      </c>
    </row>
    <row r="113" spans="1:5" ht="15.75" customHeight="1" x14ac:dyDescent="0.3"/>
    <row r="114" spans="1:5" ht="15.75" customHeight="1" x14ac:dyDescent="0.3"/>
    <row r="115" spans="1:5" ht="15.75" customHeight="1" x14ac:dyDescent="0.3">
      <c r="A115" s="25" t="s">
        <v>85</v>
      </c>
      <c r="B115" s="33"/>
      <c r="C115" s="25" t="s">
        <v>11</v>
      </c>
      <c r="D115" s="33"/>
      <c r="E115" s="34"/>
    </row>
    <row r="116" spans="1:5" ht="15.75" customHeight="1" x14ac:dyDescent="0.3">
      <c r="A116" s="25" t="s">
        <v>2</v>
      </c>
      <c r="B116" s="25" t="s">
        <v>1</v>
      </c>
      <c r="C116" s="27" t="s">
        <v>27</v>
      </c>
      <c r="D116" s="35" t="s">
        <v>20</v>
      </c>
      <c r="E116" s="26" t="s">
        <v>84</v>
      </c>
    </row>
    <row r="117" spans="1:5" ht="15.75" customHeight="1" x14ac:dyDescent="0.3">
      <c r="A117" s="27" t="s">
        <v>15</v>
      </c>
      <c r="B117" s="27" t="s">
        <v>14</v>
      </c>
      <c r="C117" s="53">
        <v>23025</v>
      </c>
      <c r="D117" s="54">
        <v>52406</v>
      </c>
      <c r="E117" s="55">
        <v>75431</v>
      </c>
    </row>
    <row r="118" spans="1:5" ht="15.75" customHeight="1" x14ac:dyDescent="0.3">
      <c r="A118" s="36"/>
      <c r="B118" s="29" t="s">
        <v>53</v>
      </c>
      <c r="C118" s="56">
        <v>30477</v>
      </c>
      <c r="D118" s="57">
        <v>47334</v>
      </c>
      <c r="E118" s="58">
        <v>77811</v>
      </c>
    </row>
    <row r="119" spans="1:5" ht="15.75" customHeight="1" x14ac:dyDescent="0.3">
      <c r="A119" s="36"/>
      <c r="B119" s="29" t="s">
        <v>61</v>
      </c>
      <c r="C119" s="56">
        <v>55571</v>
      </c>
      <c r="D119" s="57">
        <v>27557</v>
      </c>
      <c r="E119" s="58">
        <v>83128</v>
      </c>
    </row>
    <row r="120" spans="1:5" ht="15.75" customHeight="1" x14ac:dyDescent="0.3">
      <c r="A120" s="36"/>
      <c r="B120" s="29" t="s">
        <v>65</v>
      </c>
      <c r="C120" s="56">
        <v>24170</v>
      </c>
      <c r="D120" s="57">
        <v>61986</v>
      </c>
      <c r="E120" s="58">
        <v>86156</v>
      </c>
    </row>
    <row r="121" spans="1:5" ht="15.75" customHeight="1" x14ac:dyDescent="0.3">
      <c r="A121" s="36"/>
      <c r="B121" s="29" t="s">
        <v>67</v>
      </c>
      <c r="C121" s="56">
        <v>23651</v>
      </c>
      <c r="D121" s="57">
        <v>51323</v>
      </c>
      <c r="E121" s="58">
        <v>74974</v>
      </c>
    </row>
    <row r="122" spans="1:5" ht="15.75" customHeight="1" x14ac:dyDescent="0.3">
      <c r="A122" s="36"/>
      <c r="B122" s="29" t="s">
        <v>69</v>
      </c>
      <c r="C122" s="56">
        <v>24652</v>
      </c>
      <c r="D122" s="57">
        <v>55204</v>
      </c>
      <c r="E122" s="58">
        <v>79856</v>
      </c>
    </row>
    <row r="123" spans="1:5" ht="15.75" customHeight="1" x14ac:dyDescent="0.3">
      <c r="A123" s="36"/>
      <c r="B123" s="29" t="s">
        <v>71</v>
      </c>
      <c r="C123" s="56">
        <v>43859</v>
      </c>
      <c r="D123" s="57">
        <v>85450</v>
      </c>
      <c r="E123" s="58">
        <v>129309</v>
      </c>
    </row>
    <row r="124" spans="1:5" ht="15.75" customHeight="1" x14ac:dyDescent="0.3">
      <c r="A124" s="36"/>
      <c r="B124" s="29" t="s">
        <v>72</v>
      </c>
      <c r="C124" s="56">
        <v>27566</v>
      </c>
      <c r="D124" s="57">
        <v>102892</v>
      </c>
      <c r="E124" s="58">
        <v>130458</v>
      </c>
    </row>
    <row r="125" spans="1:5" ht="15.75" customHeight="1" x14ac:dyDescent="0.3">
      <c r="A125" s="36"/>
      <c r="B125" s="29" t="s">
        <v>74</v>
      </c>
      <c r="C125" s="56">
        <v>54209</v>
      </c>
      <c r="D125" s="57">
        <v>83434</v>
      </c>
      <c r="E125" s="58">
        <v>137643</v>
      </c>
    </row>
    <row r="126" spans="1:5" ht="15.75" customHeight="1" x14ac:dyDescent="0.3">
      <c r="A126" s="36"/>
      <c r="B126" s="29" t="s">
        <v>75</v>
      </c>
      <c r="C126" s="56">
        <v>54808</v>
      </c>
      <c r="D126" s="57">
        <v>68914</v>
      </c>
      <c r="E126" s="58">
        <v>123722</v>
      </c>
    </row>
    <row r="127" spans="1:5" ht="15.75" customHeight="1" x14ac:dyDescent="0.3">
      <c r="A127" s="36"/>
      <c r="B127" s="29" t="s">
        <v>76</v>
      </c>
      <c r="C127" s="56">
        <v>31692</v>
      </c>
      <c r="D127" s="57">
        <v>96436</v>
      </c>
      <c r="E127" s="58">
        <v>128128</v>
      </c>
    </row>
    <row r="128" spans="1:5" ht="15.75" customHeight="1" x14ac:dyDescent="0.3">
      <c r="A128" s="36"/>
      <c r="B128" s="29" t="s">
        <v>77</v>
      </c>
      <c r="C128" s="56">
        <v>66028</v>
      </c>
      <c r="D128" s="57">
        <v>66685</v>
      </c>
      <c r="E128" s="58">
        <v>132713</v>
      </c>
    </row>
    <row r="129" spans="1:5" ht="15.75" customHeight="1" x14ac:dyDescent="0.3">
      <c r="A129" s="27" t="s">
        <v>86</v>
      </c>
      <c r="B129" s="33"/>
      <c r="C129" s="53">
        <v>459708</v>
      </c>
      <c r="D129" s="54">
        <v>799621</v>
      </c>
      <c r="E129" s="55">
        <v>1259329</v>
      </c>
    </row>
    <row r="130" spans="1:5" ht="15.75" customHeight="1" x14ac:dyDescent="0.3">
      <c r="A130" s="27" t="s">
        <v>78</v>
      </c>
      <c r="B130" s="27" t="s">
        <v>14</v>
      </c>
      <c r="C130" s="53">
        <v>54868</v>
      </c>
      <c r="D130" s="54">
        <v>49529</v>
      </c>
      <c r="E130" s="55">
        <v>104397</v>
      </c>
    </row>
    <row r="131" spans="1:5" ht="15.75" customHeight="1" x14ac:dyDescent="0.3">
      <c r="A131" s="36"/>
      <c r="B131" s="29" t="s">
        <v>53</v>
      </c>
      <c r="C131" s="56">
        <v>30285</v>
      </c>
      <c r="D131" s="57">
        <v>67587</v>
      </c>
      <c r="E131" s="58">
        <v>97872</v>
      </c>
    </row>
    <row r="132" spans="1:5" ht="15.75" customHeight="1" x14ac:dyDescent="0.3">
      <c r="A132" s="36"/>
      <c r="B132" s="29" t="s">
        <v>61</v>
      </c>
      <c r="C132" s="56">
        <v>52109</v>
      </c>
      <c r="D132" s="57">
        <v>48567</v>
      </c>
      <c r="E132" s="58">
        <v>100676</v>
      </c>
    </row>
    <row r="133" spans="1:5" ht="15.75" customHeight="1" x14ac:dyDescent="0.3">
      <c r="A133" s="36"/>
      <c r="B133" s="29" t="s">
        <v>65</v>
      </c>
      <c r="C133" s="56">
        <v>34483</v>
      </c>
      <c r="D133" s="57">
        <v>69436</v>
      </c>
      <c r="E133" s="58">
        <v>103919</v>
      </c>
    </row>
    <row r="134" spans="1:5" ht="15.75" customHeight="1" x14ac:dyDescent="0.3">
      <c r="A134" s="36"/>
      <c r="B134" s="29" t="s">
        <v>67</v>
      </c>
      <c r="C134" s="56">
        <v>19979</v>
      </c>
      <c r="D134" s="57">
        <v>76667</v>
      </c>
      <c r="E134" s="58">
        <v>96646</v>
      </c>
    </row>
    <row r="135" spans="1:5" ht="15.75" customHeight="1" x14ac:dyDescent="0.3">
      <c r="A135" s="36"/>
      <c r="B135" s="29" t="s">
        <v>69</v>
      </c>
      <c r="C135" s="56">
        <v>42416</v>
      </c>
      <c r="D135" s="57">
        <v>67182</v>
      </c>
      <c r="E135" s="58">
        <v>109598</v>
      </c>
    </row>
    <row r="136" spans="1:5" ht="15.75" customHeight="1" x14ac:dyDescent="0.3">
      <c r="A136" s="36"/>
      <c r="B136" s="29" t="s">
        <v>71</v>
      </c>
      <c r="C136" s="56">
        <v>70938</v>
      </c>
      <c r="D136" s="57">
        <v>134591</v>
      </c>
      <c r="E136" s="58">
        <v>205529</v>
      </c>
    </row>
    <row r="137" spans="1:5" ht="15.75" customHeight="1" x14ac:dyDescent="0.3">
      <c r="A137" s="36"/>
      <c r="B137" s="29" t="s">
        <v>72</v>
      </c>
      <c r="C137" s="56">
        <v>79058</v>
      </c>
      <c r="D137" s="57">
        <v>121400</v>
      </c>
      <c r="E137" s="58">
        <v>200458</v>
      </c>
    </row>
    <row r="138" spans="1:5" ht="15.75" customHeight="1" x14ac:dyDescent="0.3">
      <c r="A138" s="36"/>
      <c r="B138" s="29" t="s">
        <v>74</v>
      </c>
      <c r="C138" s="56">
        <v>86998</v>
      </c>
      <c r="D138" s="57">
        <v>100979</v>
      </c>
      <c r="E138" s="58">
        <v>187977</v>
      </c>
    </row>
    <row r="139" spans="1:5" ht="15.75" customHeight="1" x14ac:dyDescent="0.3">
      <c r="A139" s="36"/>
      <c r="B139" s="29" t="s">
        <v>75</v>
      </c>
      <c r="C139" s="56">
        <v>93413</v>
      </c>
      <c r="D139" s="57">
        <v>110663</v>
      </c>
      <c r="E139" s="58">
        <v>204076</v>
      </c>
    </row>
    <row r="140" spans="1:5" ht="15.75" customHeight="1" x14ac:dyDescent="0.3">
      <c r="A140" s="36"/>
      <c r="B140" s="29" t="s">
        <v>76</v>
      </c>
      <c r="C140" s="56">
        <v>86681</v>
      </c>
      <c r="D140" s="57">
        <v>97822</v>
      </c>
      <c r="E140" s="58">
        <v>184503</v>
      </c>
    </row>
    <row r="141" spans="1:5" ht="15.75" customHeight="1" x14ac:dyDescent="0.3">
      <c r="A141" s="36"/>
      <c r="B141" s="29" t="s">
        <v>77</v>
      </c>
      <c r="C141" s="56">
        <v>37526</v>
      </c>
      <c r="D141" s="57">
        <v>161698</v>
      </c>
      <c r="E141" s="58">
        <v>199224</v>
      </c>
    </row>
    <row r="142" spans="1:5" ht="15.75" customHeight="1" x14ac:dyDescent="0.3">
      <c r="A142" s="27" t="s">
        <v>87</v>
      </c>
      <c r="B142" s="33"/>
      <c r="C142" s="53">
        <v>688754</v>
      </c>
      <c r="D142" s="54">
        <v>1106121</v>
      </c>
      <c r="E142" s="55">
        <v>1794875</v>
      </c>
    </row>
    <row r="143" spans="1:5" ht="15.75" customHeight="1" x14ac:dyDescent="0.3">
      <c r="A143" s="31" t="s">
        <v>84</v>
      </c>
      <c r="B143" s="37"/>
      <c r="C143" s="59">
        <v>1148462</v>
      </c>
      <c r="D143" s="60">
        <v>1905742</v>
      </c>
      <c r="E143" s="52">
        <v>3054204</v>
      </c>
    </row>
    <row r="144" spans="1:5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MYDASHBOARD</vt:lpstr>
      <vt:lpstr>Data</vt:lpstr>
      <vt:lpstr>Detail1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Esha Rawat</cp:lastModifiedBy>
  <dcterms:created xsi:type="dcterms:W3CDTF">2006-09-16T00:00:00Z</dcterms:created>
  <dcterms:modified xsi:type="dcterms:W3CDTF">2025-08-03T17:02:07Z</dcterms:modified>
</cp:coreProperties>
</file>